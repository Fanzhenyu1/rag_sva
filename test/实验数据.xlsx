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mylife_yanjiu\project\rag_sva\test\"/>
    </mc:Choice>
  </mc:AlternateContent>
  <xr:revisionPtr revIDLastSave="0" documentId="13_ncr:1_{146BC08C-E919-46D2-9D79-0954933C6E69}"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3" l="1"/>
  <c r="J29" i="3"/>
  <c r="G29" i="3"/>
  <c r="F29" i="3"/>
  <c r="E29" i="3"/>
  <c r="D29" i="3"/>
  <c r="C29" i="3"/>
  <c r="B29" i="3"/>
  <c r="K14" i="3"/>
  <c r="J14" i="3"/>
  <c r="I14" i="3"/>
  <c r="H14" i="3"/>
  <c r="G14" i="3"/>
  <c r="F14" i="3"/>
  <c r="E14" i="3"/>
  <c r="D14" i="3"/>
  <c r="C14" i="3"/>
  <c r="B14" i="3"/>
</calcChain>
</file>

<file path=xl/sharedStrings.xml><?xml version="1.0" encoding="utf-8"?>
<sst xmlns="http://schemas.openxmlformats.org/spreadsheetml/2006/main" count="792" uniqueCount="230">
  <si>
    <t>设计</t>
    <phoneticPr fontId="1" type="noConversion"/>
  </si>
  <si>
    <t>忠实度</t>
    <phoneticPr fontId="1" type="noConversion"/>
  </si>
  <si>
    <t>上下文精度</t>
    <phoneticPr fontId="1" type="noConversion"/>
  </si>
  <si>
    <t>上下文召回率</t>
    <phoneticPr fontId="1" type="noConversion"/>
  </si>
  <si>
    <t>答案相关性</t>
    <phoneticPr fontId="1" type="noConversion"/>
  </si>
  <si>
    <t>答案正确性</t>
    <phoneticPr fontId="1" type="noConversion"/>
  </si>
  <si>
    <t>序号</t>
    <phoneticPr fontId="1" type="noConversion"/>
  </si>
  <si>
    <t>Design Source Code</t>
    <phoneticPr fontId="1" type="noConversion"/>
  </si>
  <si>
    <t>Example Assertion</t>
    <phoneticPr fontId="1" type="noConversion"/>
  </si>
  <si>
    <t>Comment String</t>
    <phoneticPr fontId="1" type="noConversion"/>
  </si>
  <si>
    <t>Temperature</t>
    <phoneticPr fontId="1" type="noConversion"/>
  </si>
  <si>
    <t>% Correct Simulated Assertions</t>
    <phoneticPr fontId="1" type="noConversion"/>
  </si>
  <si>
    <t>BuggyDUT</t>
    <phoneticPr fontId="1" type="noConversion"/>
  </si>
  <si>
    <t>NoCom</t>
    <phoneticPr fontId="1" type="noConversion"/>
  </si>
  <si>
    <t>DetailedEx</t>
    <phoneticPr fontId="1" type="noConversion"/>
  </si>
  <si>
    <t>NoEx</t>
    <phoneticPr fontId="1" type="noConversion"/>
  </si>
  <si>
    <t>DetailedCom</t>
    <phoneticPr fontId="1" type="noConversion"/>
  </si>
  <si>
    <t>RAG-on</t>
    <phoneticPr fontId="1" type="noConversion"/>
  </si>
  <si>
    <t>针对2</t>
    <phoneticPr fontId="1" type="noConversion"/>
  </si>
  <si>
    <t>golden</t>
    <phoneticPr fontId="1" type="noConversion"/>
  </si>
  <si>
    <t>design0</t>
    <phoneticPr fontId="1" type="noConversion"/>
  </si>
  <si>
    <t>golden/17E</t>
    <phoneticPr fontId="1" type="noConversion"/>
  </si>
  <si>
    <t>design1</t>
    <phoneticPr fontId="1" type="noConversion"/>
  </si>
  <si>
    <t>golden/4E</t>
    <phoneticPr fontId="1" type="noConversion"/>
  </si>
  <si>
    <t>design2</t>
    <phoneticPr fontId="1" type="noConversion"/>
  </si>
  <si>
    <t>design3</t>
    <phoneticPr fontId="1" type="noConversion"/>
  </si>
  <si>
    <t>golden/59E</t>
    <phoneticPr fontId="1" type="noConversion"/>
  </si>
  <si>
    <t>design4</t>
    <phoneticPr fontId="1" type="noConversion"/>
  </si>
  <si>
    <t>design5</t>
  </si>
  <si>
    <t>design6</t>
  </si>
  <si>
    <t>design7</t>
  </si>
  <si>
    <t>design8</t>
  </si>
  <si>
    <t>design9</t>
  </si>
  <si>
    <t>✓</t>
    <phoneticPr fontId="1" type="noConversion"/>
  </si>
  <si>
    <t>golden/16128E</t>
    <phoneticPr fontId="1" type="noConversion"/>
  </si>
  <si>
    <r>
      <t>8064E(</t>
    </r>
    <r>
      <rPr>
        <sz val="11"/>
        <color theme="1"/>
        <rFont val="Segoe UI Symbol"/>
        <family val="2"/>
      </rPr>
      <t>✓</t>
    </r>
    <r>
      <rPr>
        <sz val="11"/>
        <color theme="1"/>
        <rFont val="等线"/>
        <family val="2"/>
        <scheme val="minor"/>
      </rPr>
      <t>)</t>
    </r>
    <phoneticPr fontId="1" type="noConversion"/>
  </si>
  <si>
    <r>
      <t>0E(</t>
    </r>
    <r>
      <rPr>
        <sz val="11"/>
        <color theme="1"/>
        <rFont val="Segoe UI Symbol"/>
        <family val="2"/>
      </rPr>
      <t>✕</t>
    </r>
    <r>
      <rPr>
        <sz val="11"/>
        <color theme="1"/>
        <rFont val="等线"/>
        <family val="2"/>
        <scheme val="minor"/>
      </rPr>
      <t>)</t>
    </r>
    <phoneticPr fontId="1" type="noConversion"/>
  </si>
  <si>
    <t>golden/28E</t>
    <phoneticPr fontId="1" type="noConversion"/>
  </si>
  <si>
    <r>
      <t>28E(</t>
    </r>
    <r>
      <rPr>
        <sz val="11"/>
        <color theme="1"/>
        <rFont val="Segoe UI Symbol"/>
        <family val="2"/>
      </rPr>
      <t>✓</t>
    </r>
    <r>
      <rPr>
        <sz val="11"/>
        <color theme="1"/>
        <rFont val="等线"/>
        <family val="2"/>
        <scheme val="minor"/>
      </rPr>
      <t>)</t>
    </r>
    <phoneticPr fontId="1" type="noConversion"/>
  </si>
  <si>
    <t>✕</t>
    <phoneticPr fontId="1" type="noConversion"/>
  </si>
  <si>
    <r>
      <t>24E(</t>
    </r>
    <r>
      <rPr>
        <sz val="11"/>
        <color theme="1"/>
        <rFont val="Segoe UI Symbol"/>
        <family val="2"/>
      </rPr>
      <t>✕</t>
    </r>
    <r>
      <rPr>
        <sz val="11"/>
        <color theme="1"/>
        <rFont val="等线"/>
        <family val="2"/>
        <scheme val="minor"/>
      </rPr>
      <t>)</t>
    </r>
    <phoneticPr fontId="1" type="noConversion"/>
  </si>
  <si>
    <r>
      <t>60E(</t>
    </r>
    <r>
      <rPr>
        <sz val="11"/>
        <color theme="1"/>
        <rFont val="Segoe UI Symbol"/>
        <family val="2"/>
      </rPr>
      <t>✕</t>
    </r>
    <r>
      <rPr>
        <sz val="11"/>
        <color theme="1"/>
        <rFont val="等线"/>
        <family val="2"/>
        <scheme val="minor"/>
      </rPr>
      <t>)</t>
    </r>
    <phoneticPr fontId="1" type="noConversion"/>
  </si>
  <si>
    <r>
      <t>20E(</t>
    </r>
    <r>
      <rPr>
        <sz val="11"/>
        <color theme="1"/>
        <rFont val="Segoe UI Symbol"/>
        <family val="2"/>
      </rPr>
      <t>✕</t>
    </r>
    <r>
      <rPr>
        <sz val="11"/>
        <color theme="1"/>
        <rFont val="等线"/>
        <family val="2"/>
        <scheme val="minor"/>
      </rPr>
      <t>)</t>
    </r>
    <phoneticPr fontId="1" type="noConversion"/>
  </si>
  <si>
    <t>golden/36861E</t>
    <phoneticPr fontId="1" type="noConversion"/>
  </si>
  <si>
    <r>
      <t>48381E(</t>
    </r>
    <r>
      <rPr>
        <sz val="11"/>
        <color theme="1"/>
        <rFont val="Segoe UI Symbol"/>
        <family val="2"/>
      </rPr>
      <t>✓</t>
    </r>
    <r>
      <rPr>
        <sz val="11"/>
        <color theme="1"/>
        <rFont val="等线"/>
        <family val="2"/>
        <scheme val="minor"/>
      </rPr>
      <t>)</t>
    </r>
    <phoneticPr fontId="1" type="noConversion"/>
  </si>
  <si>
    <t>golden/960E</t>
    <phoneticPr fontId="1" type="noConversion"/>
  </si>
  <si>
    <r>
      <t>960E(</t>
    </r>
    <r>
      <rPr>
        <sz val="11"/>
        <color theme="1"/>
        <rFont val="Segoe UI Symbol"/>
        <family val="2"/>
      </rPr>
      <t>✓</t>
    </r>
    <r>
      <rPr>
        <sz val="11"/>
        <color theme="1"/>
        <rFont val="等线"/>
        <family val="2"/>
        <scheme val="minor"/>
      </rPr>
      <t>)</t>
    </r>
    <phoneticPr fontId="1" type="noConversion"/>
  </si>
  <si>
    <r>
      <t>960E(</t>
    </r>
    <r>
      <rPr>
        <sz val="11"/>
        <color theme="1"/>
        <rFont val="Segoe UI Symbol"/>
        <family val="3"/>
      </rPr>
      <t>✓</t>
    </r>
    <r>
      <rPr>
        <sz val="11"/>
        <color theme="1"/>
        <rFont val="等线"/>
        <family val="3"/>
        <charset val="134"/>
        <scheme val="minor"/>
      </rPr>
      <t>)</t>
    </r>
    <phoneticPr fontId="1" type="noConversion"/>
  </si>
  <si>
    <t>golden/340E</t>
    <phoneticPr fontId="1" type="noConversion"/>
  </si>
  <si>
    <r>
      <t>340E(</t>
    </r>
    <r>
      <rPr>
        <sz val="11"/>
        <color theme="1"/>
        <rFont val="Segoe UI Symbol"/>
        <family val="2"/>
      </rPr>
      <t>✓</t>
    </r>
    <r>
      <rPr>
        <sz val="11"/>
        <color theme="1"/>
        <rFont val="等线"/>
        <family val="2"/>
        <scheme val="minor"/>
      </rPr>
      <t>)</t>
    </r>
    <phoneticPr fontId="1" type="noConversion"/>
  </si>
  <si>
    <r>
      <t>59E(</t>
    </r>
    <r>
      <rPr>
        <sz val="11"/>
        <color theme="1"/>
        <rFont val="Segoe UI Symbol"/>
        <family val="2"/>
      </rPr>
      <t>✓</t>
    </r>
    <r>
      <rPr>
        <sz val="11"/>
        <color theme="1"/>
        <rFont val="等线"/>
        <family val="2"/>
        <scheme val="minor"/>
      </rPr>
      <t>)</t>
    </r>
    <phoneticPr fontId="1" type="noConversion"/>
  </si>
  <si>
    <t>golden/16E</t>
    <phoneticPr fontId="1" type="noConversion"/>
  </si>
  <si>
    <r>
      <t>49E(</t>
    </r>
    <r>
      <rPr>
        <sz val="11"/>
        <color theme="1"/>
        <rFont val="Segoe UI Symbol"/>
        <family val="2"/>
      </rPr>
      <t>✕</t>
    </r>
    <r>
      <rPr>
        <sz val="11"/>
        <color theme="1"/>
        <rFont val="等线"/>
        <family val="2"/>
        <scheme val="minor"/>
      </rPr>
      <t>)</t>
    </r>
    <phoneticPr fontId="1" type="noConversion"/>
  </si>
  <si>
    <r>
      <t>4E(</t>
    </r>
    <r>
      <rPr>
        <sz val="11"/>
        <color theme="1"/>
        <rFont val="Segoe UI Symbol"/>
        <family val="2"/>
      </rPr>
      <t>✕</t>
    </r>
    <r>
      <rPr>
        <sz val="11"/>
        <color theme="1"/>
        <rFont val="等线"/>
        <family val="2"/>
        <scheme val="minor"/>
      </rPr>
      <t>)</t>
    </r>
    <phoneticPr fontId="1" type="noConversion"/>
  </si>
  <si>
    <r>
      <t>12E(</t>
    </r>
    <r>
      <rPr>
        <sz val="11"/>
        <color theme="1"/>
        <rFont val="Segoe UI Symbol"/>
        <family val="2"/>
      </rPr>
      <t>✕</t>
    </r>
    <r>
      <rPr>
        <sz val="11"/>
        <color theme="1"/>
        <rFont val="等线"/>
        <family val="2"/>
        <scheme val="minor"/>
      </rPr>
      <t>)</t>
    </r>
    <phoneticPr fontId="1" type="noConversion"/>
  </si>
  <si>
    <r>
      <t>16E(</t>
    </r>
    <r>
      <rPr>
        <sz val="11"/>
        <color theme="1"/>
        <rFont val="Segoe UI Symbol"/>
        <family val="2"/>
      </rPr>
      <t>✓</t>
    </r>
    <r>
      <rPr>
        <sz val="11"/>
        <color theme="1"/>
        <rFont val="等线"/>
        <family val="2"/>
        <scheme val="minor"/>
      </rPr>
      <t>）</t>
    </r>
    <phoneticPr fontId="1" type="noConversion"/>
  </si>
  <si>
    <r>
      <t>17E(</t>
    </r>
    <r>
      <rPr>
        <sz val="11"/>
        <color theme="1"/>
        <rFont val="Segoe UI Symbol"/>
        <family val="2"/>
      </rPr>
      <t>✓</t>
    </r>
    <r>
      <rPr>
        <sz val="11"/>
        <color theme="1"/>
        <rFont val="等线"/>
        <family val="2"/>
        <scheme val="minor"/>
      </rPr>
      <t>)</t>
    </r>
    <phoneticPr fontId="1" type="noConversion"/>
  </si>
  <si>
    <r>
      <t>4E(</t>
    </r>
    <r>
      <rPr>
        <sz val="11"/>
        <color theme="1"/>
        <rFont val="Segoe UI Symbol"/>
        <family val="2"/>
      </rPr>
      <t>✓</t>
    </r>
    <r>
      <rPr>
        <sz val="11"/>
        <color theme="1"/>
        <rFont val="等线"/>
        <family val="2"/>
        <scheme val="minor"/>
      </rPr>
      <t>）</t>
    </r>
    <phoneticPr fontId="1" type="noConversion"/>
  </si>
  <si>
    <r>
      <t>7E(</t>
    </r>
    <r>
      <rPr>
        <sz val="11"/>
        <color theme="1"/>
        <rFont val="Segoe UI Symbol"/>
        <family val="2"/>
      </rPr>
      <t>✓</t>
    </r>
    <r>
      <rPr>
        <sz val="11"/>
        <color theme="1"/>
        <rFont val="等线"/>
        <family val="2"/>
        <scheme val="minor"/>
      </rPr>
      <t>)</t>
    </r>
    <phoneticPr fontId="1" type="noConversion"/>
  </si>
  <si>
    <t>针对3</t>
    <phoneticPr fontId="1" type="noConversion"/>
  </si>
  <si>
    <r>
      <t>16E(</t>
    </r>
    <r>
      <rPr>
        <sz val="11"/>
        <color theme="1"/>
        <rFont val="Segoe UI Symbol"/>
        <family val="3"/>
      </rPr>
      <t>✓</t>
    </r>
    <r>
      <rPr>
        <sz val="11"/>
        <color theme="1"/>
        <rFont val="等线"/>
        <family val="3"/>
        <charset val="134"/>
        <scheme val="minor"/>
      </rPr>
      <t>）</t>
    </r>
    <phoneticPr fontId="1" type="noConversion"/>
  </si>
  <si>
    <r>
      <t>8064E(</t>
    </r>
    <r>
      <rPr>
        <sz val="11"/>
        <color theme="1"/>
        <rFont val="Segoe UI Symbol"/>
        <family val="3"/>
      </rPr>
      <t>✓</t>
    </r>
    <r>
      <rPr>
        <sz val="11"/>
        <color theme="1"/>
        <rFont val="等线"/>
        <family val="3"/>
        <charset val="134"/>
        <scheme val="minor"/>
      </rPr>
      <t>)</t>
    </r>
    <phoneticPr fontId="1" type="noConversion"/>
  </si>
  <si>
    <t>&lt;10%</t>
    <phoneticPr fontId="1" type="noConversion"/>
  </si>
  <si>
    <t>针对4</t>
    <phoneticPr fontId="1" type="noConversion"/>
  </si>
  <si>
    <t>CoT</t>
    <phoneticPr fontId="1" type="noConversion"/>
  </si>
  <si>
    <t>3-stage</t>
    <phoneticPr fontId="1" type="noConversion"/>
  </si>
  <si>
    <t>针对5</t>
    <phoneticPr fontId="1" type="noConversion"/>
  </si>
  <si>
    <r>
      <t>93E(</t>
    </r>
    <r>
      <rPr>
        <sz val="11"/>
        <color theme="1"/>
        <rFont val="Segoe UI Symbol"/>
        <family val="2"/>
      </rPr>
      <t>✕</t>
    </r>
    <r>
      <rPr>
        <sz val="11"/>
        <color theme="1"/>
        <rFont val="等线"/>
        <family val="2"/>
        <scheme val="minor"/>
      </rPr>
      <t>)</t>
    </r>
    <phoneticPr fontId="1" type="noConversion"/>
  </si>
  <si>
    <t>24E</t>
    <phoneticPr fontId="1" type="noConversion"/>
  </si>
  <si>
    <t>4E</t>
    <phoneticPr fontId="1" type="noConversion"/>
  </si>
  <si>
    <t>12E</t>
    <phoneticPr fontId="1" type="noConversion"/>
  </si>
  <si>
    <t>20E</t>
    <phoneticPr fontId="1" type="noConversion"/>
  </si>
  <si>
    <t>1-stage</t>
    <phoneticPr fontId="1" type="noConversion"/>
  </si>
  <si>
    <t>naive-RAG</t>
    <phoneticPr fontId="1" type="noConversion"/>
  </si>
  <si>
    <t>optimized-RAG</t>
    <phoneticPr fontId="1" type="noConversion"/>
  </si>
  <si>
    <t>average</t>
    <phoneticPr fontId="1" type="noConversion"/>
  </si>
  <si>
    <t>rag_ref</t>
    <phoneticPr fontId="1" type="noConversion"/>
  </si>
  <si>
    <t>engine</t>
    <phoneticPr fontId="1" type="noConversion"/>
  </si>
  <si>
    <t>RAG效果评估/item=20</t>
    <phoneticPr fontId="1" type="noConversion"/>
  </si>
  <si>
    <t>generate assertion</t>
    <phoneticPr fontId="1" type="noConversion"/>
  </si>
  <si>
    <t>compiled assertion</t>
    <phoneticPr fontId="1" type="noConversion"/>
  </si>
  <si>
    <t>Correct Assertions</t>
    <phoneticPr fontId="1" type="noConversion"/>
  </si>
  <si>
    <t>% Correct Assertions</t>
    <phoneticPr fontId="1" type="noConversion"/>
  </si>
  <si>
    <t>enhanced-RAG</t>
    <phoneticPr fontId="1" type="noConversion"/>
  </si>
  <si>
    <t>定性对比</t>
    <phoneticPr fontId="1" type="noConversion"/>
  </si>
  <si>
    <t>本文</t>
    <phoneticPr fontId="1" type="noConversion"/>
  </si>
  <si>
    <t>g2: OpenAssert</t>
    <phoneticPr fontId="1" type="noConversion"/>
  </si>
  <si>
    <t>提示工程？</t>
    <phoneticPr fontId="1" type="noConversion"/>
  </si>
  <si>
    <t>威胁模型生成？</t>
    <phoneticPr fontId="1" type="noConversion"/>
  </si>
  <si>
    <t>RAG？</t>
    <phoneticPr fontId="1" type="noConversion"/>
  </si>
  <si>
    <t>测试平台</t>
    <phoneticPr fontId="1" type="noConversion"/>
  </si>
  <si>
    <t>g6:</t>
    <phoneticPr fontId="1" type="noConversion"/>
  </si>
  <si>
    <t>/</t>
    <phoneticPr fontId="1" type="noConversion"/>
  </si>
  <si>
    <t>OpenTitan</t>
    <phoneticPr fontId="1" type="noConversion"/>
  </si>
  <si>
    <t>非安全知识库</t>
    <phoneticPr fontId="1" type="noConversion"/>
  </si>
  <si>
    <t>HackDAC21 OpenTitan</t>
    <phoneticPr fontId="1" type="noConversion"/>
  </si>
  <si>
    <t>g11: LASP</t>
    <phoneticPr fontId="1" type="noConversion"/>
  </si>
  <si>
    <t>RSA,DES,SHA512,AES</t>
    <phoneticPr fontId="1" type="noConversion"/>
  </si>
  <si>
    <t>g19: LASSO</t>
    <phoneticPr fontId="1" type="noConversion"/>
  </si>
  <si>
    <t>CEP,OpenTitan,HackDAC24</t>
    <phoneticPr fontId="1" type="noConversion"/>
  </si>
  <si>
    <t>安全知识库</t>
    <phoneticPr fontId="1" type="noConversion"/>
  </si>
  <si>
    <t>Neorv32 SoC</t>
    <phoneticPr fontId="1" type="noConversion"/>
  </si>
  <si>
    <t>g15: ThreatLens</t>
    <phoneticPr fontId="1" type="noConversion"/>
  </si>
  <si>
    <t>g8: AssertLLM</t>
    <phoneticPr fontId="1" type="noConversion"/>
  </si>
  <si>
    <t>SVA生成？</t>
    <phoneticPr fontId="1" type="noConversion"/>
  </si>
  <si>
    <t>iic</t>
    <phoneticPr fontId="1" type="noConversion"/>
  </si>
  <si>
    <t>RAG效果评估/item=90</t>
    <phoneticPr fontId="1" type="noConversion"/>
  </si>
  <si>
    <t>1阶简单RAG</t>
    <phoneticPr fontId="1" type="noConversion"/>
  </si>
  <si>
    <t>三阶简单RAG</t>
    <phoneticPr fontId="1" type="noConversion"/>
  </si>
  <si>
    <t>三阶优化RAG</t>
    <phoneticPr fontId="1" type="noConversion"/>
  </si>
  <si>
    <t>_1</t>
    <phoneticPr fontId="1" type="noConversion"/>
  </si>
  <si>
    <t>_2</t>
    <phoneticPr fontId="1" type="noConversion"/>
  </si>
  <si>
    <t>_all</t>
    <phoneticPr fontId="1" type="noConversion"/>
  </si>
  <si>
    <t>7/5</t>
    <phoneticPr fontId="1" type="noConversion"/>
  </si>
  <si>
    <t>7/3</t>
    <phoneticPr fontId="1" type="noConversion"/>
  </si>
  <si>
    <t>7/1</t>
    <phoneticPr fontId="1" type="noConversion"/>
  </si>
  <si>
    <t>7/2</t>
    <phoneticPr fontId="1" type="noConversion"/>
  </si>
  <si>
    <t>7/4</t>
    <phoneticPr fontId="1" type="noConversion"/>
  </si>
  <si>
    <t>7/7</t>
    <phoneticPr fontId="1" type="noConversion"/>
  </si>
  <si>
    <t>_4</t>
    <phoneticPr fontId="1" type="noConversion"/>
  </si>
  <si>
    <t>_3</t>
    <phoneticPr fontId="1" type="noConversion"/>
  </si>
  <si>
    <t>Method</t>
    <phoneticPr fontId="1" type="noConversion"/>
  </si>
  <si>
    <t>知识库类型</t>
    <phoneticPr fontId="1" type="noConversion"/>
  </si>
  <si>
    <t>g21：</t>
    <phoneticPr fontId="1" type="noConversion"/>
  </si>
  <si>
    <t>1阶优化RAG</t>
    <phoneticPr fontId="1" type="noConversion"/>
  </si>
  <si>
    <t>_all_h</t>
    <phoneticPr fontId="1" type="noConversion"/>
  </si>
  <si>
    <t>7/6</t>
    <phoneticPr fontId="1" type="noConversion"/>
  </si>
  <si>
    <t>/GPT-5mini</t>
    <phoneticPr fontId="1" type="noConversion"/>
  </si>
  <si>
    <t>_4_o5m</t>
    <phoneticPr fontId="1" type="noConversion"/>
  </si>
  <si>
    <t>_3_o5m</t>
    <phoneticPr fontId="1" type="noConversion"/>
  </si>
  <si>
    <t>Retrieval-augmented generation for knowledge-intensive
NLP tasks</t>
    <phoneticPr fontId="1" type="noConversion"/>
  </si>
  <si>
    <t>文献名</t>
    <phoneticPr fontId="1" type="noConversion"/>
  </si>
  <si>
    <t>编号</t>
    <phoneticPr fontId="1" type="noConversion"/>
  </si>
  <si>
    <t>相关性</t>
    <phoneticPr fontId="1" type="noConversion"/>
  </si>
  <si>
    <t>RAG</t>
    <phoneticPr fontId="1" type="noConversion"/>
  </si>
  <si>
    <t>年份</t>
    <phoneticPr fontId="1" type="noConversion"/>
  </si>
  <si>
    <t>提出RAG概念</t>
    <phoneticPr fontId="1" type="noConversion"/>
  </si>
  <si>
    <t>主要工作</t>
    <phoneticPr fontId="1" type="noConversion"/>
  </si>
  <si>
    <t>LLM-based and retrieval-augmented control code
generation</t>
    <phoneticPr fontId="1" type="noConversion"/>
  </si>
  <si>
    <t>RAG应用</t>
    <phoneticPr fontId="1" type="noConversion"/>
  </si>
  <si>
    <t>RAG应用于代码生成</t>
    <phoneticPr fontId="1" type="noConversion"/>
  </si>
  <si>
    <t>Benchmarking retrieval-
augmented generation for medicine</t>
    <phoneticPr fontId="1" type="noConversion"/>
  </si>
  <si>
    <t>RAG应用于医疗领域</t>
    <phoneticPr fontId="1" type="noConversion"/>
  </si>
  <si>
    <t>LLM</t>
    <phoneticPr fontId="1" type="noConversion"/>
  </si>
  <si>
    <t>BERT: Pre-training
of deep bidirectional transformers for language understanding</t>
    <phoneticPr fontId="1" type="noConversion"/>
  </si>
  <si>
    <t>bert模型提出</t>
    <phoneticPr fontId="1" type="noConversion"/>
  </si>
  <si>
    <t xml:space="preserve">GPT-4 Technical Report </t>
    <phoneticPr fontId="1" type="noConversion"/>
  </si>
  <si>
    <t>GPT-4模型，在多模态，复杂推理任务上的进步</t>
    <phoneticPr fontId="1" type="noConversion"/>
  </si>
  <si>
    <t>DeepSeek-R1: Incentivizing Reasoning Capability in LLMs via Reinforcement Learning</t>
    <phoneticPr fontId="1" type="noConversion"/>
  </si>
  <si>
    <t>deepseek-R1，强化学习提高LLM推理能力</t>
    <phoneticPr fontId="1" type="noConversion"/>
  </si>
  <si>
    <t>Hybrid Retrieval for Hallucination
Mitigation in Large Language Models: A
Comparative Analysis</t>
    <phoneticPr fontId="1" type="noConversion"/>
  </si>
  <si>
    <t>混合检索RAG</t>
    <phoneticPr fontId="1" type="noConversion"/>
  </si>
  <si>
    <t>Retrieval-Augmented Generation for Large Language Models: A Survey</t>
    <phoneticPr fontId="1" type="noConversion"/>
  </si>
  <si>
    <t>介绍简单RAG以及高级RAG等概念</t>
    <phoneticPr fontId="1" type="noConversion"/>
  </si>
  <si>
    <t>From Code Generation to Software Testing: AI Copilot With Context-Based Retrieval-Augmented Generation</t>
    <phoneticPr fontId="1" type="noConversion"/>
  </si>
  <si>
    <t>RAG应用于软件测试</t>
    <phoneticPr fontId="1" type="noConversion"/>
  </si>
  <si>
    <t>Attention is All You Need</t>
    <phoneticPr fontId="1" type="noConversion"/>
  </si>
  <si>
    <t>`@inproceedings{koziolek2024llm,
  title={LLM-based and retrieval-augmented control code generation},
  author={Koziolek, Heiko and Gr{\"u}ner, Sten and Hark, Rhaban and Ashiwal, Virendra and Linsbauer, Sofia and Eskandani, Nafise},
  booktitle={Proceedings of the 1st International Workshop on Large Language Models for Code},
  pages={22--29},
  year={2024}
}</t>
    <phoneticPr fontId="1" type="noConversion"/>
  </si>
  <si>
    <t>将RAG系统应用于工业控制代码生成领域，已解决专业知识的集成问题</t>
    <phoneticPr fontId="1" type="noConversion"/>
  </si>
  <si>
    <t>`@inproceedings{xiong2024benchmarking,
  title={Benchmarking retrieval-augmented generation for medicine},
  author={Xiong, Guangzhi and Jin, Qiao and Lu, Zhiyong and Zhang, Aidong},
  booktitle={Findings of the Association for Computational Linguistics: ACL 2024},
  pages={6233--6251},
  year={2024}
}</t>
    <phoneticPr fontId="1" type="noConversion"/>
  </si>
  <si>
    <t>`@article{wang2025code,
  title={From code generation to software testing: AI Copilot with context-based RAG},
  author={Wang, Yuchen and Guo, Shangxin and Tan, Chee Wei},
  journal={IEEE Software},
  year={2025},
  publisher={IEEE}
}</t>
    <phoneticPr fontId="1" type="noConversion"/>
  </si>
  <si>
    <t>`@article{lewis2020retrieval,
  title={Retrieval-augmented generation for knowledge-intensive nlp tasks},
  author={Lewis, Patrick and Perez, Ethan and Piktus, Aleksandra and Petroni, Fabio and Karpukhin, Vladimir and Goyal, Naman and K{\"u}ttler, Heinrich and Lewis, Mike and Yih, Wen-tau and Rockt{\"a}schel, Tim and others},
  journal={Advances in neural information processing systems},
  volume={33},
  pages={9459--9474},
  year={2020}
}</t>
    <phoneticPr fontId="1" type="noConversion"/>
  </si>
  <si>
    <t>`@article{vaswani2017attention,
  title={Attention is all you need},
  author={Vaswani, Ashish and Shazeer, Noam and Parmar, Niki and Uszkoreit, Jakob and Jones, Llion and Gomez, Aidan N and Kaiser, {\L}ukasz and Polosukhin, Illia},
  journal={Advances in neural information processing systems},
  volume={30},
  year={2017}
}</t>
    <phoneticPr fontId="1" type="noConversion"/>
  </si>
  <si>
    <t>`@article{gao2023retrieval,
  title={Retrieval-augmented generation for large language models: A survey},
  author={Gao, Yunfan and Xiong, Yun and Gao, Xinyu and Jia, Kangxiang and Pan, Jinliu and Bi, Yuxi and Dai, Yixin and Sun, Jiawei and Wang, Haofen and Wang, Haofen and others},
  journal={arXiv preprint arXiv:2312.10997},
  volume={2},
  number={1},
  pages={32},
  year={2023}
}</t>
    <phoneticPr fontId="1" type="noConversion"/>
  </si>
  <si>
    <t>`@article{mala2025hybrid,
  title={Hybrid retrieval for hallucination mitigation in large language models: A comparative analysis},
  author={Mala, Chandana Sree and Gezici, Gizem and Giannotti, Fosca},
  journal={arXiv preprint arXiv:2504.05324},
  year={2025}
}</t>
    <phoneticPr fontId="1" type="noConversion"/>
  </si>
  <si>
    <t>`@article{guo2025deepseek,
  title={Deepseek-r1: Incentivizing reasoning capability in llms via reinforcement learning},
  author={Guo, Daya and Yang, Dejian and Zhang, Haowei and Song, Junxiao and Wang, Peiyi and Zhu, Qihao and Xu, Runxin and Zhang, Ruoyu and Ma, Shirong and Bi, Xiao and others},
  journal={arXiv preprint arXiv:2501.12948},
  year={2025}
}</t>
    <phoneticPr fontId="1" type="noConversion"/>
  </si>
  <si>
    <t>`@article{achiam2023gpt,
  title={Gpt-4 technical report},
  author={Achiam, Josh and Adler, Steven and Agarwal, Sandhini and Ahmad, Lama and Akkaya, Ilge and Aleman, Florencia Leoni and Almeida, Diogo and Altenschmidt, Janko and Altman, Sam and Anadkat, Shyamal and others},
  journal={arXiv preprint arXiv:2303.08774},
  year={2023}
}</t>
    <phoneticPr fontId="1" type="noConversion"/>
  </si>
  <si>
    <t>`@inproceedings{devlin2019bert,
  title={Bert: Pre-training of deep bidirectional transformers for language understanding},
  author={Devlin, Jacob and Chang, Ming-Wei and Lee, Kenton and Toutanova, Kristina},
  booktitle={Proceedings of the 2019 conference of the North American chapter of the association for computational linguistics: human language technologies, volume 1 (long and short papers)},
  pages={4171--4186},
  year={2019}
}</t>
    <phoneticPr fontId="1" type="noConversion"/>
  </si>
  <si>
    <t>`@inproceedings{vasudevan2010goldmine,
  title={Goldmine: Automatic assertion generation using data mining and static analysis},
  author={Vasudevan, Shobha and Sheridan, David and Patel, Sanjay and Tcheng, David and Tuohy, Bill and Johnson, Daniel},
  booktitle={2010 Design, Automation \&amp; Test in Europe Conference \&amp; Exhibition (DATE 2010)},
  pages={626--629},
  year={2010},
  organization={IEEE}
}</t>
    <phoneticPr fontId="1" type="noConversion"/>
  </si>
  <si>
    <t>Goldmine: Automatic assertion generation using data mining and static analysis</t>
    <phoneticPr fontId="1" type="noConversion"/>
  </si>
  <si>
    <t>HARM: A Hint-Based Assertion Miner</t>
    <phoneticPr fontId="1" type="noConversion"/>
  </si>
  <si>
    <t>`@article{germiniani2022harm,
  title={Harm: a hint-based assertion miner},
  author={Germiniani, Samuele and Pravadelli, Graziano},
  journal={IEEE Transactions on Computer-Aided Design of Integrated Circuits and Systems},
  volume={41},
  number={11},
  pages={4277--4288},
  year={2022},
  publisher={IEEE}
}</t>
    <phoneticPr fontId="1" type="noConversion"/>
  </si>
  <si>
    <t>安全</t>
    <phoneticPr fontId="1" type="noConversion"/>
  </si>
  <si>
    <t>功能</t>
    <phoneticPr fontId="1" type="noConversion"/>
  </si>
  <si>
    <t>Llm-guided formal verification coupled with mutation testing</t>
    <phoneticPr fontId="1" type="noConversion"/>
  </si>
  <si>
    <t>`@inproceedings{hassan2024llm,
  title={Llm-guided formal verification coupled with mutation testing},
  author={Hassan, Muhammad and Ahmadi-Pour, Sallar and Qayyum, Khushboo and Jha, Chandan Kumar and Drechsler, Rolf},
  booktitle={2024 Design, Automation \&amp; Test in Europe Conference \&amp; Exhibition (DATE)},
  pages={1--2},
  year={2024},
  organization={IEEE}
}</t>
    <phoneticPr fontId="1" type="noConversion"/>
  </si>
  <si>
    <t>(Security) Assertions by Large Language Models</t>
    <phoneticPr fontId="1" type="noConversion"/>
  </si>
  <si>
    <t>`@article{kande2024security,
  title={(Security) assertions by large language models},
  author={Kande, Rahul and Pearce, Hammond and Tan, Benjamin and Dolan-Gavitt, Brendan and Thakur, Shailja and Karri, Ramesh and Rajendran, Jeyavijayan},
  journal={IEEE Transactions on Information Forensics and Security},
  volume={19},
  pages={4374--4389},
  year={2024},
  publisher={IEEE}
}</t>
    <phoneticPr fontId="1" type="noConversion"/>
  </si>
  <si>
    <t>LASP: LLM Assisted Security Property Generation for SoC Verification</t>
    <phoneticPr fontId="1" type="noConversion"/>
  </si>
  <si>
    <t>`@inproceedings{ayalasomayajula2024lasp,
  title={Lasp: Llm assisted security property generation for soc verification},
  author={Ayalasomayajula, Avinash and Guo, Rui and Zhou, Jingbo and Saha, Sujan Kumar and Farahmandi, Farimah},
  booktitle={Proceedings of the 2024 ACM/IEEE International Symposium on Machine Learning for CAD},
  pages={1--7},
  year={2024}
}</t>
    <phoneticPr fontId="1" type="noConversion"/>
  </si>
  <si>
    <t>OpenAssert: Towards Secure Assertion Generation using Large Language Models</t>
    <phoneticPr fontId="1" type="noConversion"/>
  </si>
  <si>
    <t>`@inproceedings{menon2025openassert,
  title={Openassert: Towards secure assertion generation using large language models},
  author={Menon, Anand and Miftah, Samit Shahnawaz and Srivastava, Amisha and Kundu, Shamik and Kundu, Shovik and Raha, Arnab and Banerjee, Suvadeep and Mathaikutty, Deepak and Basu, Kanad},
  booktitle={2025 IEEE 43rd VLSI Test Symposium (VTS)},
  pages={1--5},
  year={2025},
  organization={IEEE}
}</t>
    <phoneticPr fontId="1" type="noConversion"/>
  </si>
  <si>
    <t>LASSO: LLM-Aided Security Property Generation
for Assertion-based SoC Verification</t>
    <phoneticPr fontId="1" type="noConversion"/>
  </si>
  <si>
    <t>`@inproceedings{ankireddy2025lasso,
  title={LASSO: LLM-Aided Security Property Generation for Assertion-based SoC Verification},
  author={Ankireddy, Dinesh Reddy and Paria, Sudipta and Dasgupta, Aritra and Ray, Sandip and Bhunia, Swarup},
  booktitle={2025 ACM/IEEE 7th Symposium on Machine Learning for CAD (MLCAD)},
  pages={1--10},
  year={2025},
  organization={IEEE}
}</t>
    <phoneticPr fontId="1" type="noConversion"/>
  </si>
  <si>
    <t>`@article{fang2024assertllm,
  title={Assertllm: Generating and evaluating hardware verification assertions from design specifications via multi-llms},
  author={Fang, Wenji and Li, Mengming and Li, Min and Yan, Zhiyuan and Liu, Shang and Xie, Zhiyao and Zhang, Hongce},
  journal={arXiv preprint arXiv:2402.00386},
  year={2024}
}</t>
    <phoneticPr fontId="1" type="noConversion"/>
  </si>
  <si>
    <t>Assertllm: Generating and evaluating hardware verification assertions from design specifications via multi-llms</t>
    <phoneticPr fontId="1" type="noConversion"/>
  </si>
  <si>
    <t>Special Session: ThreatLens: LLM-guided Threat
Modeling and Test Plan Generation for Hardware
Security Verification</t>
    <phoneticPr fontId="1" type="noConversion"/>
  </si>
  <si>
    <t>`@article{saha2025threatlens,
  title={Threatlens: Llm-guided threat modeling and test plan generation for hardware security verification},
  author={Saha, Dipayan and Shaikh, Hasan Al and Tarek, Shams and Farahmandi, Farimah},
  journal={arXiv preprint arXiv:2505.06821},
  year={2025}
}</t>
    <phoneticPr fontId="1" type="noConversion"/>
  </si>
  <si>
    <t xml:space="preserve">A Survey on Hardware Security: Current Trends and Challenges </t>
    <phoneticPr fontId="1" type="noConversion"/>
  </si>
  <si>
    <t>综述，硬件安全与漏洞</t>
    <phoneticPr fontId="1" type="noConversion"/>
  </si>
  <si>
    <t>`@article{akter2023survey,
  title={A survey on hardware security: Current trends and challenges},
  author={Akter, Sonia and Khalil, Kasem and Bayoumi, Magdy},
  journal={IEEe Access},
  volume={11},
  pages={77543--77565},
  year={2023},
  publisher={IEEE}
}</t>
    <phoneticPr fontId="1" type="noConversion"/>
  </si>
  <si>
    <t xml:space="preserve">The Emergence of Hardware Fuzzing: A Critical Review of its Significance </t>
    <phoneticPr fontId="1" type="noConversion"/>
  </si>
  <si>
    <t>综述，模糊测试</t>
    <phoneticPr fontId="1" type="noConversion"/>
  </si>
  <si>
    <t>`@article{saravanan2024emergence,
  title={The emergence of hardware fuzzing: A critical review of its significance},
  author={Saravanan, Raghul and Dinakarrao, Sai Manoj Pudukotai},
  journal={arXiv preprint arXiv:2403.12812},
  year={2024}
}</t>
    <phoneticPr fontId="1" type="noConversion"/>
  </si>
  <si>
    <t>A Survey on Assertion-based Hardware Verification</t>
    <phoneticPr fontId="1" type="noConversion"/>
  </si>
  <si>
    <t>综述，ABV</t>
    <phoneticPr fontId="1" type="noConversion"/>
  </si>
  <si>
    <t>`@article{witharana2022survey,
  title={A survey on assertion-based hardware verification},
  author={Witharana, Hasini and Lyu, Yangdi and Charles, Subodha and Mishra, Prabhat},
  journal={ACM Computing Surveys (CSUR)},
  volume={54},
  number={11s},
  pages={1--33},
  year={2022},
  publisher={ACM New York, NY}
}</t>
    <phoneticPr fontId="1" type="noConversion"/>
  </si>
  <si>
    <t>`@article{hu2020overview,
  title={An overview of hardware security and trust: Threats, countermeasures, and design tools},
  author={Hu, Wei and Chang, Chip-Hong and Sengupta, Anirban and Bhunia, Swarup and Kastner, Ryan and Li, Hai},
  journal={IEEE Transactions on Computer-Aided Design of Integrated Circuits and Systems},
  volume={40},
  number={6},
  pages={1010--1038},
  year={2020},
  publisher={IEEE}
}</t>
    <phoneticPr fontId="1" type="noConversion"/>
  </si>
  <si>
    <t xml:space="preserve">An Overview of Hardware Security and Trust: Threats, Countermeasures and Design Tools </t>
    <phoneticPr fontId="1" type="noConversion"/>
  </si>
  <si>
    <t>综述，硬件安全等</t>
    <phoneticPr fontId="1" type="noConversion"/>
  </si>
  <si>
    <t>Automatic SystemVerilog Assertion Generation: Challenges and Opportunities</t>
    <phoneticPr fontId="1" type="noConversion"/>
  </si>
  <si>
    <t>`@inproceedings{afsharmazayejani2025automatic,
  title={Automatic SystemVerilog Assertion Generation: Challenges and Opportunities},
  author={Afsharmazayejani, Raheel and Pearce, Hammond and Tan, Benjamin},
  booktitle={2025 IEEE Canadian Conference on Electrical and Computer Engineering (CCECE)},
  pages={576--581},
  year={2025},
  organization={IEEE}
}</t>
    <phoneticPr fontId="1" type="noConversion"/>
  </si>
  <si>
    <t>LLM-Assisted Circuit Verification: A Comprehensive Survey</t>
    <phoneticPr fontId="1" type="noConversion"/>
  </si>
  <si>
    <t>综述，LLM应用安全SVA生成的挑战与机遇</t>
    <phoneticPr fontId="1" type="noConversion"/>
  </si>
  <si>
    <t>综述，LLM应用电路验证的挑战与机遇</t>
    <phoneticPr fontId="1" type="noConversion"/>
  </si>
  <si>
    <t>`@inproceedings{liu2026llm,
  title={LLM-Assisted Circuit Verification: A Comprehensive Survey},
  author={Liu, Hongduo and Lu, Yuntao and Wang, Mingjun and Yao, Xufeng and Yu, Bei},
  booktitle={2026 31st Asia and South Pacific Design Automation Conference (ASP-DAC)},
  pages={439--446},
  year={2026},
  organization={IEEE}
}</t>
    <phoneticPr fontId="1" type="noConversion"/>
  </si>
  <si>
    <t>Towards Property Driven Hardware Security</t>
    <phoneticPr fontId="1" type="noConversion"/>
  </si>
  <si>
    <t>`@inproceedings{hu2016towards,
  title={Towards property driven hardware security},
  author={Hu, Wei and Althoff, Alric and Ardeshiricham, Armaiti and Kastner, Ryan},
  booktitle={2016 17th International Workshop on Microprocessor and SOC Test and Verification (MTV)},
  pages={51--56},
  year={2016},
  organization={IEEE}
}</t>
    <phoneticPr fontId="1" type="noConversion"/>
  </si>
  <si>
    <t>综述，安全属性</t>
    <phoneticPr fontId="1" type="noConversion"/>
  </si>
  <si>
    <t>`@inproceedings{restuccia2021aker,
  title={Aker: A design and verification framework for safe and secure soc access control},
  author={Restuccia, Francesco and Meza, Andres and Kastner, Ryan},
  booktitle={2021 IEEE/ACM International Conference On Computer Aided Design (ICCAD)},
  pages={1--9},
  year={2021},
  organization={IEEE}
}</t>
    <phoneticPr fontId="1" type="noConversion"/>
  </si>
  <si>
    <t xml:space="preserve">Aker: A Design and Verification Framework for Safe and Secure SoC Access Control </t>
    <phoneticPr fontId="1" type="noConversion"/>
  </si>
  <si>
    <t>访问控制漏洞</t>
    <phoneticPr fontId="1" type="noConversion"/>
  </si>
  <si>
    <t>Processor Hardware Security Vulnerabilities and their Detection by Unique Program Execution Checking</t>
  </si>
  <si>
    <t>UPEC</t>
    <phoneticPr fontId="1" type="noConversion"/>
  </si>
  <si>
    <t>`@inproceedings{fadiheh2019processor,
  title={Processor hardware security vulnerabilities and their detection by unique program execution checking},
  author={Fadiheh, Mohammad Rahmani and Stoffel, Dominik and Barrett, Clark and Mitra, Subhasish and Kunz, Wolfgang},
  booktitle={2019 Design, Automation \&amp; Test in Europe Conference \&amp; Exhibition (DATE)},
  pages={994--999},
  year={2019},
  organization={IEEE}
}</t>
    <phoneticPr fontId="1" type="noConversion"/>
  </si>
  <si>
    <t>A Survey on Machine Learning Against Hardware Trojan Attacks: Recent Advances and Challenges</t>
    <phoneticPr fontId="1" type="noConversion"/>
  </si>
  <si>
    <t>硬件木马</t>
    <phoneticPr fontId="1" type="noConversion"/>
  </si>
  <si>
    <t>`@article{huang2020survey,
  title={A survey on machine learning against hardware trojan attacks: Recent advances and challenges},
  author={Huang, Zhao and Wang, Quan and Chen, Yin and Jiang, Xiaohong},
  journal={IEEE Access},
  volume={8},
  pages={10796--10826},
  year={2020},
  publisher={IEEE}
}</t>
    <phoneticPr fontId="1" type="noConversion"/>
  </si>
  <si>
    <t>HardFails: Insights into Software-Exploitable Hardware Bugs</t>
    <phoneticPr fontId="1" type="noConversion"/>
  </si>
  <si>
    <t>hardfail</t>
    <phoneticPr fontId="1" type="noConversion"/>
  </si>
  <si>
    <t>`@inproceedings{dessouky2019hardfails,
  title={$\{$HardFails$\}$: insights into $\{$software-exploitable$\}$ hardware bugs},
  author={Dessouky, Ghada and Gens, David and Haney, Patrick and Persyn, Garrett and Kanuparthi, Arun and Khattri, Hareesh and Fung, Jason M and Sadeghi, Ahmad-Reza and Rajendran, Jeyavijayan},
  booktitle={28th USENIX Security Symposium (USENIX Security 19)},
  pages={213--230},
  year={2019}
}</t>
    <phoneticPr fontId="1" type="noConversion"/>
  </si>
  <si>
    <t>SoC Security Verification using Property Checking</t>
    <phoneticPr fontId="1" type="noConversion"/>
  </si>
  <si>
    <t>`@incollection{farahmandi2019soc,
  title={SoC security verification using property checking},
  author={Farahmandi, Farimah and Huang, Yuanwen and Mishra, Prabhat},
  booktitle={System-on-Chip Security: Validation and Verification},
  pages={137--152},
  year={2019},
  publisher={Springer}
}</t>
    <phoneticPr fontId="1" type="noConversion"/>
  </si>
  <si>
    <t>属性检查，断言检查</t>
    <phoneticPr fontId="1" type="noConversion"/>
  </si>
  <si>
    <t xml:space="preserve">Mining hardware assertions with guidance from static analysis </t>
  </si>
  <si>
    <t>断言生成，静态技术</t>
    <phoneticPr fontId="1" type="noConversion"/>
  </si>
  <si>
    <t>`@article{hertz2013mining,
  title={Mining hardware assertions with guidance from static analysis},
  author={Hertz, Samuel and Sheridan, David and Vasudevan, Shobha},
  journal={IEEE Transactions on Computer-Aided Design of Integrated Circuits and Systems},
  volume={32},
  number={6},
  pages={952--965},
  year={2013},
  publisher={IEEE}
}</t>
    <phoneticPr fontId="1" type="noConversion"/>
  </si>
  <si>
    <t>Bge m3-embedding: Multi-lingual, multi-functionality, multi-granularity text embeddings through self-knowledge distillation</t>
    <phoneticPr fontId="1" type="noConversion"/>
  </si>
  <si>
    <t>bge-m3</t>
    <phoneticPr fontId="1" type="noConversion"/>
  </si>
  <si>
    <t>Milvus: A purpose-built vector data management system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</si>
</sst>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Segoe UI Symbol"/>
      <family val="2"/>
    </font>
    <font>
      <sz val="11"/>
      <color rgb="FFFF0000"/>
      <name val="等线"/>
      <family val="2"/>
      <scheme val="minor"/>
    </font>
    <font>
      <sz val="11"/>
      <color theme="1"/>
      <name val="Segoe UI Symbol"/>
      <family val="3"/>
    </font>
    <font>
      <strike/>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58" fontId="0" fillId="0" borderId="0" xfId="0" quotePrefix="1" applyNumberFormat="1" applyAlignment="1">
      <alignment horizontal="center" vertical="center" wrapText="1"/>
    </xf>
    <xf numFmtId="0" fontId="0" fillId="0" borderId="0" xfId="0" quotePrefix="1" applyAlignment="1">
      <alignment horizontal="center" vertical="center" wrapText="1"/>
    </xf>
    <xf numFmtId="14" fontId="0" fillId="0" borderId="0" xfId="0" quotePrefix="1" applyNumberFormat="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xf>
    <xf numFmtId="10" fontId="0" fillId="0" borderId="0" xfId="0" applyNumberFormat="1" applyAlignment="1">
      <alignment horizontal="center" vertical="center" wrapText="1"/>
    </xf>
    <xf numFmtId="10" fontId="0" fillId="0" borderId="0" xfId="0" quotePrefix="1" applyNumberForma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workbookViewId="0">
      <selection activeCell="D13" sqref="D13"/>
    </sheetView>
  </sheetViews>
  <sheetFormatPr defaultColWidth="18.77734375" defaultRowHeight="28.05" customHeight="1" x14ac:dyDescent="0.25"/>
  <cols>
    <col min="1" max="1" width="18.77734375" style="7"/>
    <col min="2" max="2" width="39.6640625" style="7" customWidth="1"/>
    <col min="3" max="5" width="18.77734375" style="7"/>
    <col min="6" max="6" width="29.109375" style="7" customWidth="1"/>
    <col min="7" max="7" width="36.109375" style="7" customWidth="1"/>
    <col min="8" max="8" width="37.6640625" style="7" customWidth="1"/>
    <col min="9" max="16384" width="18.77734375" style="7"/>
  </cols>
  <sheetData>
    <row r="1" spans="1:8" ht="28.05" customHeight="1" x14ac:dyDescent="0.25">
      <c r="A1" s="7" t="s">
        <v>132</v>
      </c>
      <c r="B1" s="7" t="s">
        <v>131</v>
      </c>
      <c r="D1" s="7" t="s">
        <v>133</v>
      </c>
      <c r="E1" s="7" t="s">
        <v>135</v>
      </c>
      <c r="F1" s="7" t="s">
        <v>137</v>
      </c>
    </row>
    <row r="2" spans="1:8" ht="28.05" customHeight="1" x14ac:dyDescent="0.25">
      <c r="A2" s="7">
        <v>1</v>
      </c>
      <c r="B2" s="7" t="s">
        <v>130</v>
      </c>
      <c r="D2" s="2" t="s">
        <v>134</v>
      </c>
      <c r="E2" s="7">
        <v>2020</v>
      </c>
      <c r="F2" s="7" t="s">
        <v>136</v>
      </c>
      <c r="H2" s="7" t="s">
        <v>161</v>
      </c>
    </row>
    <row r="3" spans="1:8" ht="28.05" customHeight="1" x14ac:dyDescent="0.25">
      <c r="A3" s="7">
        <v>2</v>
      </c>
      <c r="B3" s="7" t="s">
        <v>138</v>
      </c>
      <c r="D3" s="2" t="s">
        <v>139</v>
      </c>
      <c r="E3" s="7">
        <v>2024</v>
      </c>
      <c r="F3" s="7" t="s">
        <v>140</v>
      </c>
      <c r="G3" s="7" t="s">
        <v>158</v>
      </c>
      <c r="H3" s="7" t="s">
        <v>157</v>
      </c>
    </row>
    <row r="4" spans="1:8" ht="28.05" customHeight="1" x14ac:dyDescent="0.25">
      <c r="A4" s="7">
        <v>3</v>
      </c>
      <c r="B4" s="7" t="s">
        <v>141</v>
      </c>
      <c r="D4" s="2" t="s">
        <v>139</v>
      </c>
      <c r="E4" s="7">
        <v>2024</v>
      </c>
      <c r="F4" s="7" t="s">
        <v>142</v>
      </c>
      <c r="H4" s="7" t="s">
        <v>159</v>
      </c>
    </row>
    <row r="5" spans="1:8" ht="28.05" customHeight="1" x14ac:dyDescent="0.25">
      <c r="A5" s="7">
        <v>4</v>
      </c>
      <c r="B5" s="7" t="s">
        <v>144</v>
      </c>
      <c r="D5" s="2" t="s">
        <v>143</v>
      </c>
      <c r="E5" s="7">
        <v>2020</v>
      </c>
      <c r="F5" s="7" t="s">
        <v>145</v>
      </c>
      <c r="H5" s="7" t="s">
        <v>167</v>
      </c>
    </row>
    <row r="6" spans="1:8" ht="28.05" customHeight="1" x14ac:dyDescent="0.25">
      <c r="A6" s="7">
        <v>5</v>
      </c>
      <c r="B6" s="7" t="s">
        <v>146</v>
      </c>
      <c r="D6" s="2" t="s">
        <v>143</v>
      </c>
      <c r="E6" s="7">
        <v>2023</v>
      </c>
      <c r="F6" s="7" t="s">
        <v>147</v>
      </c>
      <c r="H6" s="7" t="s">
        <v>166</v>
      </c>
    </row>
    <row r="7" spans="1:8" ht="28.05" customHeight="1" x14ac:dyDescent="0.25">
      <c r="A7" s="7">
        <v>6</v>
      </c>
      <c r="B7" s="7" t="s">
        <v>148</v>
      </c>
      <c r="D7" s="2" t="s">
        <v>143</v>
      </c>
      <c r="E7" s="7">
        <v>2025</v>
      </c>
      <c r="F7" s="7" t="s">
        <v>149</v>
      </c>
      <c r="H7" s="7" t="s">
        <v>165</v>
      </c>
    </row>
    <row r="8" spans="1:8" ht="28.05" customHeight="1" x14ac:dyDescent="0.25">
      <c r="A8" s="7">
        <v>7</v>
      </c>
      <c r="B8" s="7" t="s">
        <v>150</v>
      </c>
      <c r="D8" s="2" t="s">
        <v>134</v>
      </c>
      <c r="E8" s="7">
        <v>2025</v>
      </c>
      <c r="F8" s="7" t="s">
        <v>151</v>
      </c>
      <c r="H8" s="7" t="s">
        <v>164</v>
      </c>
    </row>
    <row r="9" spans="1:8" ht="28.05" customHeight="1" x14ac:dyDescent="0.25">
      <c r="A9" s="7">
        <v>8</v>
      </c>
      <c r="B9" s="7" t="s">
        <v>152</v>
      </c>
      <c r="D9" s="2" t="s">
        <v>134</v>
      </c>
      <c r="E9" s="7">
        <v>2023</v>
      </c>
      <c r="F9" s="7" t="s">
        <v>153</v>
      </c>
      <c r="H9" s="7" t="s">
        <v>163</v>
      </c>
    </row>
    <row r="10" spans="1:8" ht="28.05" customHeight="1" x14ac:dyDescent="0.25">
      <c r="A10" s="7">
        <v>9</v>
      </c>
      <c r="B10" s="7" t="s">
        <v>154</v>
      </c>
      <c r="D10" s="2" t="s">
        <v>139</v>
      </c>
      <c r="E10" s="7">
        <v>2025</v>
      </c>
      <c r="F10" s="7" t="s">
        <v>155</v>
      </c>
      <c r="H10" s="7" t="s">
        <v>160</v>
      </c>
    </row>
    <row r="11" spans="1:8" ht="28.05" customHeight="1" x14ac:dyDescent="0.25">
      <c r="A11" s="7">
        <v>10</v>
      </c>
      <c r="B11" s="7" t="s">
        <v>156</v>
      </c>
      <c r="D11" s="2"/>
      <c r="E11" s="7">
        <v>2017</v>
      </c>
      <c r="H11" s="7" t="s">
        <v>162</v>
      </c>
    </row>
    <row r="12" spans="1:8" ht="28.05" customHeight="1" x14ac:dyDescent="0.25">
      <c r="D12" s="2"/>
    </row>
    <row r="13" spans="1:8" ht="28.05" customHeight="1" x14ac:dyDescent="0.25">
      <c r="D13" s="2"/>
    </row>
    <row r="14" spans="1:8" ht="28.05" customHeight="1" x14ac:dyDescent="0.25">
      <c r="D14" s="2"/>
    </row>
    <row r="15" spans="1:8" ht="28.05" customHeight="1" x14ac:dyDescent="0.25">
      <c r="A15" s="7">
        <v>1</v>
      </c>
      <c r="B15" s="7" t="s">
        <v>169</v>
      </c>
      <c r="E15" s="7">
        <v>2010</v>
      </c>
      <c r="H15" s="7" t="s">
        <v>168</v>
      </c>
    </row>
    <row r="16" spans="1:8" ht="28.05" customHeight="1" x14ac:dyDescent="0.25">
      <c r="A16" s="7">
        <v>2</v>
      </c>
      <c r="B16" s="7" t="s">
        <v>170</v>
      </c>
      <c r="E16" s="7">
        <v>2022</v>
      </c>
      <c r="H16" s="7" t="s">
        <v>171</v>
      </c>
    </row>
    <row r="18" spans="2:8" ht="28.05" customHeight="1" x14ac:dyDescent="0.25">
      <c r="D18" s="2"/>
    </row>
    <row r="19" spans="2:8" ht="28.05" customHeight="1" x14ac:dyDescent="0.25">
      <c r="B19" s="7" t="s">
        <v>188</v>
      </c>
      <c r="D19" s="2"/>
      <c r="E19" s="7">
        <v>2023</v>
      </c>
      <c r="F19" s="7" t="s">
        <v>189</v>
      </c>
      <c r="H19" s="7" t="s">
        <v>190</v>
      </c>
    </row>
    <row r="20" spans="2:8" ht="28.05" customHeight="1" x14ac:dyDescent="0.25">
      <c r="B20" s="7" t="s">
        <v>191</v>
      </c>
      <c r="E20" s="7">
        <v>2024</v>
      </c>
      <c r="F20" s="7" t="s">
        <v>192</v>
      </c>
      <c r="H20" s="7" t="s">
        <v>193</v>
      </c>
    </row>
    <row r="21" spans="2:8" ht="28.05" customHeight="1" x14ac:dyDescent="0.25">
      <c r="B21" s="7" t="s">
        <v>194</v>
      </c>
      <c r="E21" s="7">
        <v>2022</v>
      </c>
      <c r="F21" s="7" t="s">
        <v>195</v>
      </c>
      <c r="H21" s="7" t="s">
        <v>196</v>
      </c>
    </row>
    <row r="22" spans="2:8" ht="28.05" customHeight="1" x14ac:dyDescent="0.25">
      <c r="B22" s="7" t="s">
        <v>198</v>
      </c>
      <c r="E22" s="7">
        <v>2020</v>
      </c>
      <c r="F22" s="7" t="s">
        <v>199</v>
      </c>
      <c r="H22" s="7" t="s">
        <v>197</v>
      </c>
    </row>
    <row r="23" spans="2:8" ht="28.05" customHeight="1" x14ac:dyDescent="0.25">
      <c r="B23" s="7" t="s">
        <v>200</v>
      </c>
      <c r="E23" s="7">
        <v>2025</v>
      </c>
      <c r="F23" s="7" t="s">
        <v>203</v>
      </c>
      <c r="H23" s="7" t="s">
        <v>201</v>
      </c>
    </row>
    <row r="24" spans="2:8" ht="28.05" customHeight="1" x14ac:dyDescent="0.25">
      <c r="B24" s="7" t="s">
        <v>202</v>
      </c>
      <c r="E24" s="7">
        <v>2026</v>
      </c>
      <c r="F24" s="7" t="s">
        <v>204</v>
      </c>
      <c r="H24" s="7" t="s">
        <v>205</v>
      </c>
    </row>
    <row r="25" spans="2:8" ht="28.05" customHeight="1" x14ac:dyDescent="0.25">
      <c r="B25" s="7" t="s">
        <v>206</v>
      </c>
      <c r="E25" s="7">
        <v>2016</v>
      </c>
      <c r="F25" s="7" t="s">
        <v>208</v>
      </c>
      <c r="H25" s="7" t="s">
        <v>207</v>
      </c>
    </row>
    <row r="26" spans="2:8" ht="28.05" customHeight="1" x14ac:dyDescent="0.25">
      <c r="B26" s="7" t="s">
        <v>218</v>
      </c>
      <c r="E26" s="7">
        <v>2019</v>
      </c>
      <c r="F26" s="7" t="s">
        <v>219</v>
      </c>
      <c r="H26" s="7" t="s">
        <v>220</v>
      </c>
    </row>
    <row r="28" spans="2:8" ht="28.05" customHeight="1" x14ac:dyDescent="0.25">
      <c r="B28" s="7" t="s">
        <v>210</v>
      </c>
      <c r="E28" s="7">
        <v>2021</v>
      </c>
      <c r="F28" s="7" t="s">
        <v>211</v>
      </c>
      <c r="H28" s="7" t="s">
        <v>209</v>
      </c>
    </row>
    <row r="29" spans="2:8" ht="28.05" customHeight="1" x14ac:dyDescent="0.25">
      <c r="B29" s="7" t="s">
        <v>212</v>
      </c>
      <c r="E29" s="7">
        <v>2019</v>
      </c>
      <c r="F29" s="7" t="s">
        <v>213</v>
      </c>
      <c r="H29" s="7" t="s">
        <v>214</v>
      </c>
    </row>
    <row r="30" spans="2:8" ht="28.05" customHeight="1" x14ac:dyDescent="0.25">
      <c r="B30" s="7" t="s">
        <v>215</v>
      </c>
      <c r="E30" s="7">
        <v>2020</v>
      </c>
      <c r="F30" s="7" t="s">
        <v>216</v>
      </c>
      <c r="H30" s="7" t="s">
        <v>217</v>
      </c>
    </row>
    <row r="31" spans="2:8" ht="28.05" customHeight="1" x14ac:dyDescent="0.25">
      <c r="B31" s="7" t="s">
        <v>221</v>
      </c>
      <c r="E31" s="7">
        <v>2019</v>
      </c>
      <c r="F31" s="7" t="s">
        <v>223</v>
      </c>
      <c r="H31" s="7" t="s">
        <v>222</v>
      </c>
    </row>
    <row r="33" spans="2:8" ht="28.05" customHeight="1" x14ac:dyDescent="0.25">
      <c r="B33" s="7" t="s">
        <v>224</v>
      </c>
      <c r="E33" s="7">
        <v>2013</v>
      </c>
      <c r="F33" s="7" t="s">
        <v>225</v>
      </c>
      <c r="H33" s="7" t="s">
        <v>226</v>
      </c>
    </row>
    <row r="34" spans="2:8" ht="28.05" customHeight="1" x14ac:dyDescent="0.25">
      <c r="B34" s="7" t="s">
        <v>227</v>
      </c>
      <c r="E34" s="7">
        <v>2024</v>
      </c>
      <c r="F34" s="7" t="s">
        <v>228</v>
      </c>
    </row>
    <row r="35" spans="2:8" ht="28.05" customHeight="1" x14ac:dyDescent="0.25">
      <c r="B35" s="7" t="s">
        <v>229</v>
      </c>
      <c r="E35" s="7">
        <v>2021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DE99-23A4-44BD-B675-0AE246CEEB40}">
  <dimension ref="A1:N71"/>
  <sheetViews>
    <sheetView workbookViewId="0">
      <selection activeCell="A23" sqref="A23"/>
    </sheetView>
  </sheetViews>
  <sheetFormatPr defaultColWidth="18.77734375" defaultRowHeight="28.05" customHeight="1" x14ac:dyDescent="0.25"/>
  <cols>
    <col min="1" max="16384" width="18.77734375" style="1"/>
  </cols>
  <sheetData>
    <row r="1" spans="1:14" ht="28.05" customHeight="1" x14ac:dyDescent="0.25">
      <c r="A1" s="1" t="s">
        <v>6</v>
      </c>
      <c r="B1" s="1" t="s">
        <v>7</v>
      </c>
      <c r="C1" s="7" t="s">
        <v>64</v>
      </c>
      <c r="D1" s="6" t="s">
        <v>8</v>
      </c>
      <c r="E1" s="6" t="s">
        <v>9</v>
      </c>
      <c r="F1" s="7" t="s">
        <v>10</v>
      </c>
      <c r="G1" s="7" t="s">
        <v>11</v>
      </c>
      <c r="H1" s="7"/>
      <c r="I1" s="7"/>
      <c r="K1" s="1" t="s">
        <v>79</v>
      </c>
      <c r="L1" s="1" t="s">
        <v>80</v>
      </c>
      <c r="M1" s="1" t="s">
        <v>81</v>
      </c>
      <c r="N1" s="7" t="s">
        <v>82</v>
      </c>
    </row>
    <row r="2" spans="1:14" ht="28.05" customHeight="1" x14ac:dyDescent="0.25">
      <c r="A2" s="1">
        <v>1</v>
      </c>
      <c r="B2" s="1" t="s">
        <v>12</v>
      </c>
      <c r="C2" s="7" t="s">
        <v>72</v>
      </c>
      <c r="D2" s="7" t="s">
        <v>15</v>
      </c>
      <c r="E2" s="7" t="s">
        <v>13</v>
      </c>
      <c r="F2" s="7">
        <v>0.4</v>
      </c>
      <c r="G2" s="7" t="s">
        <v>62</v>
      </c>
      <c r="H2" s="7"/>
      <c r="I2" s="7"/>
      <c r="K2" s="1">
        <v>100</v>
      </c>
    </row>
    <row r="3" spans="1:14" s="3" customFormat="1" ht="28.05" customHeight="1" x14ac:dyDescent="0.25">
      <c r="A3" s="3">
        <v>2</v>
      </c>
      <c r="B3" s="3" t="s">
        <v>12</v>
      </c>
      <c r="C3" s="7" t="s">
        <v>72</v>
      </c>
      <c r="D3" s="7" t="s">
        <v>15</v>
      </c>
      <c r="E3" s="7" t="s">
        <v>16</v>
      </c>
      <c r="F3" s="7">
        <v>0.4</v>
      </c>
      <c r="G3" s="18">
        <v>0.85709999999999997</v>
      </c>
      <c r="H3" s="8"/>
      <c r="I3" s="7" t="s">
        <v>76</v>
      </c>
      <c r="K3" s="7">
        <v>100</v>
      </c>
    </row>
    <row r="4" spans="1:14" ht="28.05" customHeight="1" x14ac:dyDescent="0.25">
      <c r="A4" s="3">
        <v>3</v>
      </c>
      <c r="B4" s="1" t="s">
        <v>12</v>
      </c>
      <c r="C4" s="7" t="s">
        <v>72</v>
      </c>
      <c r="D4" s="7" t="s">
        <v>14</v>
      </c>
      <c r="E4" s="7" t="s">
        <v>16</v>
      </c>
      <c r="F4" s="7">
        <v>0.4</v>
      </c>
      <c r="G4" s="18">
        <v>0.92859999999999998</v>
      </c>
      <c r="H4" s="8"/>
      <c r="I4" s="7"/>
      <c r="K4" s="7">
        <v>100</v>
      </c>
    </row>
    <row r="5" spans="1:14" ht="28.05" customHeight="1" x14ac:dyDescent="0.25">
      <c r="A5" s="3">
        <v>4</v>
      </c>
      <c r="B5" s="1" t="s">
        <v>12</v>
      </c>
      <c r="C5" s="7" t="s">
        <v>72</v>
      </c>
      <c r="D5" s="7" t="s">
        <v>15</v>
      </c>
      <c r="E5" s="7" t="s">
        <v>17</v>
      </c>
      <c r="F5" s="7">
        <v>0.4</v>
      </c>
      <c r="G5" s="19">
        <v>0.44290000000000002</v>
      </c>
      <c r="H5" s="8"/>
      <c r="I5" s="7"/>
      <c r="K5" s="7">
        <v>100</v>
      </c>
    </row>
    <row r="6" spans="1:14" ht="28.05" customHeight="1" x14ac:dyDescent="0.25">
      <c r="A6" s="3">
        <v>5</v>
      </c>
      <c r="B6" s="1" t="s">
        <v>12</v>
      </c>
      <c r="C6" s="7" t="s">
        <v>65</v>
      </c>
      <c r="D6" s="7" t="s">
        <v>15</v>
      </c>
      <c r="E6" s="7" t="s">
        <v>17</v>
      </c>
      <c r="F6" s="7">
        <v>0.4</v>
      </c>
      <c r="G6" s="18">
        <v>0.77139999999999997</v>
      </c>
      <c r="H6" s="8"/>
      <c r="I6" s="7" t="s">
        <v>77</v>
      </c>
      <c r="K6" s="7">
        <v>100</v>
      </c>
    </row>
    <row r="7" spans="1:14" ht="28.05" customHeight="1" x14ac:dyDescent="0.25">
      <c r="A7" s="1">
        <v>6</v>
      </c>
      <c r="B7" s="7" t="s">
        <v>12</v>
      </c>
      <c r="C7" s="7" t="s">
        <v>65</v>
      </c>
      <c r="D7" s="7" t="s">
        <v>15</v>
      </c>
      <c r="E7" s="7" t="s">
        <v>83</v>
      </c>
      <c r="F7" s="7">
        <v>0.4</v>
      </c>
      <c r="G7" s="18">
        <v>0.94289999999999996</v>
      </c>
      <c r="H7" s="7"/>
      <c r="I7" s="7"/>
      <c r="K7" s="7">
        <v>100</v>
      </c>
    </row>
    <row r="8" spans="1:14" ht="28.05" customHeight="1" x14ac:dyDescent="0.25">
      <c r="E8" s="2"/>
      <c r="G8" s="18"/>
    </row>
    <row r="9" spans="1:14" ht="28.05" customHeight="1" x14ac:dyDescent="0.25">
      <c r="E9" s="2"/>
    </row>
    <row r="10" spans="1:14" ht="28.05" customHeight="1" x14ac:dyDescent="0.25">
      <c r="A10" s="1" t="s">
        <v>18</v>
      </c>
      <c r="B10" s="1" t="s">
        <v>20</v>
      </c>
      <c r="C10" s="1" t="s">
        <v>21</v>
      </c>
      <c r="D10" s="1" t="s">
        <v>56</v>
      </c>
      <c r="E10" s="4" t="s">
        <v>56</v>
      </c>
      <c r="F10" s="4" t="s">
        <v>56</v>
      </c>
      <c r="G10" s="4" t="s">
        <v>56</v>
      </c>
      <c r="H10" s="4" t="s">
        <v>56</v>
      </c>
      <c r="I10" s="4" t="s">
        <v>56</v>
      </c>
      <c r="J10" s="4" t="s">
        <v>56</v>
      </c>
      <c r="K10" s="4" t="s">
        <v>56</v>
      </c>
      <c r="L10" s="4" t="s">
        <v>56</v>
      </c>
      <c r="M10" s="4" t="s">
        <v>56</v>
      </c>
    </row>
    <row r="11" spans="1:14" ht="28.05" customHeight="1" x14ac:dyDescent="0.25">
      <c r="B11" s="1" t="s">
        <v>22</v>
      </c>
      <c r="C11" s="1" t="s">
        <v>23</v>
      </c>
      <c r="D11" s="4" t="s">
        <v>57</v>
      </c>
      <c r="E11" s="4" t="s">
        <v>57</v>
      </c>
      <c r="F11" s="4" t="s">
        <v>57</v>
      </c>
      <c r="G11" s="4" t="s">
        <v>57</v>
      </c>
      <c r="H11" s="4" t="s">
        <v>57</v>
      </c>
      <c r="I11" s="4" t="s">
        <v>57</v>
      </c>
      <c r="J11" s="4" t="s">
        <v>57</v>
      </c>
      <c r="K11" s="4" t="s">
        <v>57</v>
      </c>
      <c r="L11" s="4" t="s">
        <v>57</v>
      </c>
      <c r="M11" s="4" t="s">
        <v>57</v>
      </c>
    </row>
    <row r="12" spans="1:14" ht="28.05" customHeight="1" x14ac:dyDescent="0.25">
      <c r="B12" s="1" t="s">
        <v>24</v>
      </c>
      <c r="C12" s="4" t="s">
        <v>51</v>
      </c>
      <c r="D12" s="1" t="s">
        <v>55</v>
      </c>
      <c r="E12" s="4" t="s">
        <v>55</v>
      </c>
      <c r="F12" s="1" t="s">
        <v>53</v>
      </c>
      <c r="G12" s="4" t="s">
        <v>55</v>
      </c>
      <c r="H12" s="4" t="s">
        <v>55</v>
      </c>
      <c r="I12" s="1" t="s">
        <v>52</v>
      </c>
      <c r="J12" s="4" t="s">
        <v>55</v>
      </c>
      <c r="K12" s="4" t="s">
        <v>55</v>
      </c>
      <c r="L12" s="1" t="s">
        <v>54</v>
      </c>
      <c r="M12" s="4" t="s">
        <v>55</v>
      </c>
      <c r="N12" s="1">
        <v>3</v>
      </c>
    </row>
    <row r="13" spans="1:14" ht="28.05" customHeight="1" x14ac:dyDescent="0.25">
      <c r="B13" s="1" t="s">
        <v>25</v>
      </c>
      <c r="C13" s="3" t="s">
        <v>26</v>
      </c>
      <c r="D13" s="3" t="s">
        <v>50</v>
      </c>
      <c r="E13" s="3" t="s">
        <v>50</v>
      </c>
      <c r="F13" s="4" t="s">
        <v>50</v>
      </c>
      <c r="G13" s="4" t="s">
        <v>50</v>
      </c>
      <c r="H13" s="4" t="s">
        <v>50</v>
      </c>
      <c r="I13" s="4" t="s">
        <v>50</v>
      </c>
      <c r="J13" s="4" t="s">
        <v>50</v>
      </c>
      <c r="K13" s="4" t="s">
        <v>50</v>
      </c>
      <c r="L13" s="4" t="s">
        <v>50</v>
      </c>
      <c r="M13" s="4" t="s">
        <v>50</v>
      </c>
    </row>
    <row r="14" spans="1:14" ht="28.05" customHeight="1" x14ac:dyDescent="0.25">
      <c r="B14" s="1" t="s">
        <v>27</v>
      </c>
      <c r="C14" s="1" t="s">
        <v>19</v>
      </c>
      <c r="D14" s="5" t="s">
        <v>33</v>
      </c>
      <c r="E14" s="5" t="s">
        <v>33</v>
      </c>
      <c r="F14" s="5" t="s">
        <v>33</v>
      </c>
      <c r="G14" s="5" t="s">
        <v>33</v>
      </c>
      <c r="H14" s="5" t="s">
        <v>33</v>
      </c>
      <c r="I14" s="5" t="s">
        <v>33</v>
      </c>
      <c r="J14" s="5" t="s">
        <v>33</v>
      </c>
      <c r="K14" s="5" t="s">
        <v>33</v>
      </c>
      <c r="L14" s="5" t="s">
        <v>33</v>
      </c>
      <c r="M14" s="5" t="s">
        <v>33</v>
      </c>
    </row>
    <row r="15" spans="1:14" ht="28.05" customHeight="1" x14ac:dyDescent="0.25">
      <c r="B15" s="3" t="s">
        <v>28</v>
      </c>
      <c r="C15" s="1" t="s">
        <v>34</v>
      </c>
      <c r="D15" s="1" t="s">
        <v>35</v>
      </c>
      <c r="E15" s="3" t="s">
        <v>35</v>
      </c>
      <c r="F15" s="3" t="s">
        <v>35</v>
      </c>
      <c r="G15" s="3" t="s">
        <v>35</v>
      </c>
      <c r="H15" s="3" t="s">
        <v>35</v>
      </c>
      <c r="I15" s="3" t="s">
        <v>35</v>
      </c>
      <c r="J15" s="1" t="s">
        <v>36</v>
      </c>
      <c r="K15" s="3" t="s">
        <v>35</v>
      </c>
      <c r="L15" s="3" t="s">
        <v>35</v>
      </c>
      <c r="M15" s="3" t="s">
        <v>35</v>
      </c>
      <c r="N15" s="1">
        <v>1</v>
      </c>
    </row>
    <row r="16" spans="1:14" ht="28.05" customHeight="1" x14ac:dyDescent="0.25">
      <c r="B16" s="3" t="s">
        <v>29</v>
      </c>
      <c r="C16" s="3" t="s">
        <v>37</v>
      </c>
      <c r="D16" s="1" t="s">
        <v>38</v>
      </c>
      <c r="E16" s="3" t="s">
        <v>38</v>
      </c>
      <c r="F16" s="5" t="s">
        <v>39</v>
      </c>
      <c r="G16" s="1" t="s">
        <v>58</v>
      </c>
      <c r="H16" s="4" t="s">
        <v>58</v>
      </c>
      <c r="I16" s="4" t="s">
        <v>58</v>
      </c>
      <c r="J16" s="4" t="s">
        <v>58</v>
      </c>
      <c r="K16" s="1" t="s">
        <v>40</v>
      </c>
      <c r="L16" s="1" t="s">
        <v>41</v>
      </c>
      <c r="M16" s="1" t="s">
        <v>42</v>
      </c>
      <c r="N16" s="1">
        <v>4</v>
      </c>
    </row>
    <row r="17" spans="1:14" ht="28.05" customHeight="1" x14ac:dyDescent="0.25">
      <c r="B17" s="3" t="s">
        <v>30</v>
      </c>
      <c r="C17" s="1" t="s">
        <v>43</v>
      </c>
      <c r="D17" s="5" t="s">
        <v>33</v>
      </c>
      <c r="E17" s="5" t="s">
        <v>33</v>
      </c>
      <c r="F17" s="5" t="s">
        <v>33</v>
      </c>
      <c r="G17" s="5" t="s">
        <v>33</v>
      </c>
      <c r="H17" s="5" t="s">
        <v>33</v>
      </c>
      <c r="I17" s="5" t="s">
        <v>33</v>
      </c>
      <c r="J17" s="5" t="s">
        <v>33</v>
      </c>
      <c r="K17" s="5" t="s">
        <v>33</v>
      </c>
      <c r="L17" s="5" t="s">
        <v>33</v>
      </c>
      <c r="M17" s="1" t="s">
        <v>44</v>
      </c>
    </row>
    <row r="18" spans="1:14" ht="28.05" customHeight="1" x14ac:dyDescent="0.25">
      <c r="B18" s="3" t="s">
        <v>31</v>
      </c>
      <c r="C18" s="1" t="s">
        <v>45</v>
      </c>
      <c r="D18" s="4" t="s">
        <v>46</v>
      </c>
      <c r="E18" s="4" t="s">
        <v>46</v>
      </c>
      <c r="F18" s="4" t="s">
        <v>47</v>
      </c>
      <c r="G18" s="4" t="s">
        <v>47</v>
      </c>
      <c r="H18" s="4" t="s">
        <v>47</v>
      </c>
      <c r="I18" s="4" t="s">
        <v>47</v>
      </c>
      <c r="J18" s="4" t="s">
        <v>47</v>
      </c>
      <c r="K18" s="4" t="s">
        <v>47</v>
      </c>
      <c r="L18" s="4" t="s">
        <v>47</v>
      </c>
      <c r="M18" s="4" t="s">
        <v>47</v>
      </c>
    </row>
    <row r="19" spans="1:14" ht="28.05" customHeight="1" x14ac:dyDescent="0.25">
      <c r="B19" s="3" t="s">
        <v>32</v>
      </c>
      <c r="C19" s="4" t="s">
        <v>48</v>
      </c>
      <c r="D19" s="4" t="s">
        <v>49</v>
      </c>
      <c r="E19" s="4" t="s">
        <v>49</v>
      </c>
      <c r="F19" s="4" t="s">
        <v>49</v>
      </c>
      <c r="G19" s="5" t="s">
        <v>39</v>
      </c>
      <c r="H19" s="4" t="s">
        <v>49</v>
      </c>
      <c r="I19" s="4" t="s">
        <v>49</v>
      </c>
      <c r="J19" s="5" t="s">
        <v>39</v>
      </c>
      <c r="K19" s="4" t="s">
        <v>49</v>
      </c>
      <c r="L19" s="4" t="s">
        <v>49</v>
      </c>
      <c r="M19" s="5" t="s">
        <v>39</v>
      </c>
      <c r="N19" s="1">
        <v>3</v>
      </c>
    </row>
    <row r="20" spans="1:14" ht="28.05" customHeight="1" x14ac:dyDescent="0.25">
      <c r="E20" s="2"/>
    </row>
    <row r="21" spans="1:14" ht="28.05" customHeight="1" x14ac:dyDescent="0.25">
      <c r="A21" s="1" t="s">
        <v>59</v>
      </c>
      <c r="B21" s="4" t="s">
        <v>20</v>
      </c>
      <c r="D21" s="7" t="s">
        <v>56</v>
      </c>
      <c r="E21" s="7" t="s">
        <v>56</v>
      </c>
      <c r="F21" s="7" t="s">
        <v>56</v>
      </c>
      <c r="G21" s="7" t="s">
        <v>56</v>
      </c>
      <c r="H21" s="7" t="s">
        <v>56</v>
      </c>
      <c r="I21" s="7" t="s">
        <v>56</v>
      </c>
      <c r="J21" s="7" t="s">
        <v>56</v>
      </c>
      <c r="K21" s="7" t="s">
        <v>56</v>
      </c>
      <c r="L21" s="7" t="s">
        <v>56</v>
      </c>
      <c r="M21" s="7" t="s">
        <v>56</v>
      </c>
    </row>
    <row r="22" spans="1:14" ht="28.05" customHeight="1" x14ac:dyDescent="0.25">
      <c r="B22" s="4" t="s">
        <v>22</v>
      </c>
      <c r="D22" s="7" t="s">
        <v>57</v>
      </c>
      <c r="E22" s="7" t="s">
        <v>57</v>
      </c>
      <c r="F22" s="7" t="s">
        <v>57</v>
      </c>
      <c r="G22" s="7" t="s">
        <v>57</v>
      </c>
      <c r="H22" s="7" t="s">
        <v>57</v>
      </c>
      <c r="I22" s="7" t="s">
        <v>57</v>
      </c>
      <c r="J22" s="7" t="s">
        <v>57</v>
      </c>
      <c r="K22" s="7" t="s">
        <v>57</v>
      </c>
      <c r="L22" s="7" t="s">
        <v>57</v>
      </c>
      <c r="M22" s="7" t="s">
        <v>57</v>
      </c>
    </row>
    <row r="23" spans="1:14" ht="28.05" customHeight="1" x14ac:dyDescent="0.25">
      <c r="B23" s="4" t="s">
        <v>24</v>
      </c>
      <c r="D23" s="7" t="s">
        <v>55</v>
      </c>
      <c r="E23" s="7" t="s">
        <v>55</v>
      </c>
      <c r="F23" s="7" t="s">
        <v>60</v>
      </c>
      <c r="G23" s="7" t="s">
        <v>60</v>
      </c>
      <c r="H23" s="7" t="s">
        <v>60</v>
      </c>
      <c r="I23" s="7" t="s">
        <v>60</v>
      </c>
      <c r="J23" s="7" t="s">
        <v>60</v>
      </c>
      <c r="K23" s="7" t="s">
        <v>60</v>
      </c>
      <c r="L23" s="7" t="s">
        <v>60</v>
      </c>
      <c r="M23" s="7" t="s">
        <v>60</v>
      </c>
    </row>
    <row r="24" spans="1:14" ht="28.05" customHeight="1" x14ac:dyDescent="0.25">
      <c r="B24" s="4" t="s">
        <v>25</v>
      </c>
      <c r="D24" s="7" t="s">
        <v>50</v>
      </c>
      <c r="E24" s="7" t="s">
        <v>50</v>
      </c>
      <c r="F24" s="7" t="s">
        <v>50</v>
      </c>
      <c r="G24" s="7" t="s">
        <v>50</v>
      </c>
      <c r="H24" s="7" t="s">
        <v>50</v>
      </c>
      <c r="I24" s="7" t="s">
        <v>50</v>
      </c>
      <c r="J24" s="7" t="s">
        <v>50</v>
      </c>
      <c r="K24" s="7" t="s">
        <v>50</v>
      </c>
      <c r="L24" s="7" t="s">
        <v>50</v>
      </c>
      <c r="M24" s="7" t="s">
        <v>50</v>
      </c>
    </row>
    <row r="25" spans="1:14" ht="28.05" customHeight="1" x14ac:dyDescent="0.25">
      <c r="B25" s="4" t="s">
        <v>27</v>
      </c>
      <c r="D25" s="5" t="s">
        <v>33</v>
      </c>
      <c r="E25" s="5" t="s">
        <v>33</v>
      </c>
      <c r="F25" s="5" t="s">
        <v>33</v>
      </c>
      <c r="G25" s="5" t="s">
        <v>33</v>
      </c>
      <c r="H25" s="5" t="s">
        <v>33</v>
      </c>
      <c r="I25" s="5" t="s">
        <v>33</v>
      </c>
      <c r="J25" s="5" t="s">
        <v>33</v>
      </c>
      <c r="K25" s="5" t="s">
        <v>33</v>
      </c>
      <c r="L25" s="5" t="s">
        <v>33</v>
      </c>
      <c r="M25" s="5" t="s">
        <v>33</v>
      </c>
    </row>
    <row r="26" spans="1:14" ht="28.05" customHeight="1" x14ac:dyDescent="0.25">
      <c r="B26" s="4" t="s">
        <v>28</v>
      </c>
      <c r="D26" s="7" t="s">
        <v>35</v>
      </c>
      <c r="E26" s="7" t="s">
        <v>35</v>
      </c>
      <c r="F26" s="7" t="s">
        <v>61</v>
      </c>
      <c r="G26" s="7" t="s">
        <v>61</v>
      </c>
      <c r="H26" s="7" t="s">
        <v>61</v>
      </c>
      <c r="I26" s="7" t="s">
        <v>61</v>
      </c>
      <c r="J26" s="7" t="s">
        <v>61</v>
      </c>
      <c r="K26" s="5" t="s">
        <v>39</v>
      </c>
      <c r="L26" s="7" t="s">
        <v>61</v>
      </c>
      <c r="M26" s="7" t="s">
        <v>61</v>
      </c>
      <c r="N26" s="1">
        <v>1</v>
      </c>
    </row>
    <row r="27" spans="1:14" ht="28.05" customHeight="1" x14ac:dyDescent="0.25">
      <c r="B27" s="4" t="s">
        <v>29</v>
      </c>
      <c r="D27" s="7" t="s">
        <v>38</v>
      </c>
      <c r="E27" s="7" t="s">
        <v>38</v>
      </c>
      <c r="F27" s="7" t="s">
        <v>38</v>
      </c>
      <c r="G27" s="7" t="s">
        <v>38</v>
      </c>
      <c r="H27" s="7" t="s">
        <v>38</v>
      </c>
      <c r="I27" s="7" t="s">
        <v>38</v>
      </c>
      <c r="J27" s="7" t="s">
        <v>38</v>
      </c>
      <c r="K27" s="7" t="s">
        <v>38</v>
      </c>
      <c r="L27" s="7" t="s">
        <v>38</v>
      </c>
      <c r="M27" s="7" t="s">
        <v>38</v>
      </c>
    </row>
    <row r="28" spans="1:14" ht="28.05" customHeight="1" x14ac:dyDescent="0.25">
      <c r="B28" s="4" t="s">
        <v>30</v>
      </c>
      <c r="D28" s="5" t="s">
        <v>33</v>
      </c>
      <c r="E28" s="5" t="s">
        <v>33</v>
      </c>
      <c r="F28" s="5" t="s">
        <v>33</v>
      </c>
      <c r="G28" s="5" t="s">
        <v>33</v>
      </c>
      <c r="H28" s="5" t="s">
        <v>33</v>
      </c>
      <c r="I28" s="5" t="s">
        <v>33</v>
      </c>
      <c r="J28" s="5" t="s">
        <v>33</v>
      </c>
      <c r="K28" s="5" t="s">
        <v>33</v>
      </c>
      <c r="L28" s="5" t="s">
        <v>33</v>
      </c>
      <c r="M28" s="5" t="s">
        <v>33</v>
      </c>
    </row>
    <row r="29" spans="1:14" ht="28.05" customHeight="1" x14ac:dyDescent="0.25">
      <c r="B29" s="4" t="s">
        <v>31</v>
      </c>
      <c r="D29" s="7" t="s">
        <v>46</v>
      </c>
      <c r="E29" s="7" t="s">
        <v>46</v>
      </c>
      <c r="F29" s="7" t="s">
        <v>46</v>
      </c>
      <c r="G29" s="7" t="s">
        <v>46</v>
      </c>
      <c r="H29" s="7" t="s">
        <v>46</v>
      </c>
      <c r="I29" s="7" t="s">
        <v>46</v>
      </c>
      <c r="J29" s="7" t="s">
        <v>46</v>
      </c>
      <c r="K29" s="7" t="s">
        <v>46</v>
      </c>
      <c r="L29" s="7" t="s">
        <v>46</v>
      </c>
      <c r="M29" s="7" t="s">
        <v>46</v>
      </c>
    </row>
    <row r="30" spans="1:14" ht="28.05" customHeight="1" x14ac:dyDescent="0.25">
      <c r="B30" s="4" t="s">
        <v>32</v>
      </c>
      <c r="D30" s="7" t="s">
        <v>49</v>
      </c>
      <c r="E30" s="7" t="s">
        <v>49</v>
      </c>
      <c r="F30" s="7" t="s">
        <v>49</v>
      </c>
      <c r="G30" s="7" t="s">
        <v>49</v>
      </c>
      <c r="H30" s="7" t="s">
        <v>49</v>
      </c>
      <c r="I30" s="7" t="s">
        <v>49</v>
      </c>
      <c r="J30" s="7" t="s">
        <v>49</v>
      </c>
      <c r="K30" s="7" t="s">
        <v>49</v>
      </c>
      <c r="L30" s="7" t="s">
        <v>49</v>
      </c>
      <c r="M30" s="7" t="s">
        <v>49</v>
      </c>
    </row>
    <row r="32" spans="1:14" ht="28.05" customHeight="1" x14ac:dyDescent="0.25">
      <c r="A32" s="1" t="s">
        <v>66</v>
      </c>
      <c r="B32" s="7" t="s">
        <v>20</v>
      </c>
      <c r="D32" s="7" t="s">
        <v>56</v>
      </c>
      <c r="E32" s="7" t="s">
        <v>56</v>
      </c>
      <c r="F32" s="7" t="s">
        <v>56</v>
      </c>
      <c r="G32" s="7" t="s">
        <v>56</v>
      </c>
      <c r="H32" s="7" t="s">
        <v>56</v>
      </c>
      <c r="I32" s="7" t="s">
        <v>56</v>
      </c>
      <c r="J32" s="7" t="s">
        <v>56</v>
      </c>
      <c r="K32" s="7" t="s">
        <v>56</v>
      </c>
      <c r="L32" s="7" t="s">
        <v>56</v>
      </c>
      <c r="M32" s="7" t="s">
        <v>56</v>
      </c>
    </row>
    <row r="33" spans="1:14" ht="28.05" customHeight="1" x14ac:dyDescent="0.25">
      <c r="B33" s="7" t="s">
        <v>22</v>
      </c>
      <c r="D33" s="7" t="s">
        <v>57</v>
      </c>
      <c r="E33" s="7" t="s">
        <v>57</v>
      </c>
      <c r="F33" s="7" t="s">
        <v>57</v>
      </c>
      <c r="G33" s="7" t="s">
        <v>57</v>
      </c>
      <c r="H33" s="7" t="s">
        <v>57</v>
      </c>
      <c r="I33" s="7" t="s">
        <v>57</v>
      </c>
      <c r="J33" s="7" t="s">
        <v>57</v>
      </c>
      <c r="K33" s="7" t="s">
        <v>57</v>
      </c>
      <c r="L33" s="7" t="s">
        <v>57</v>
      </c>
      <c r="M33" s="7" t="s">
        <v>57</v>
      </c>
    </row>
    <row r="34" spans="1:14" ht="28.05" customHeight="1" x14ac:dyDescent="0.25">
      <c r="B34" s="7" t="s">
        <v>24</v>
      </c>
      <c r="D34" s="7" t="s">
        <v>55</v>
      </c>
      <c r="E34" s="7" t="s">
        <v>55</v>
      </c>
      <c r="F34" s="7" t="s">
        <v>60</v>
      </c>
      <c r="G34" s="7" t="s">
        <v>60</v>
      </c>
      <c r="H34" s="7" t="s">
        <v>60</v>
      </c>
      <c r="I34" s="7" t="s">
        <v>60</v>
      </c>
      <c r="J34" s="7" t="s">
        <v>60</v>
      </c>
      <c r="K34" s="7" t="s">
        <v>60</v>
      </c>
      <c r="L34" s="7" t="s">
        <v>60</v>
      </c>
      <c r="M34" s="7" t="s">
        <v>60</v>
      </c>
    </row>
    <row r="35" spans="1:14" ht="28.05" customHeight="1" x14ac:dyDescent="0.25">
      <c r="B35" s="7" t="s">
        <v>25</v>
      </c>
      <c r="D35" s="7" t="s">
        <v>50</v>
      </c>
      <c r="E35" s="7" t="s">
        <v>50</v>
      </c>
      <c r="F35" s="7" t="s">
        <v>50</v>
      </c>
      <c r="G35" s="7" t="s">
        <v>50</v>
      </c>
      <c r="H35" s="7" t="s">
        <v>50</v>
      </c>
      <c r="I35" s="7" t="s">
        <v>50</v>
      </c>
      <c r="J35" s="7" t="s">
        <v>50</v>
      </c>
      <c r="K35" s="7" t="s">
        <v>50</v>
      </c>
      <c r="L35" s="7" t="s">
        <v>50</v>
      </c>
      <c r="M35" s="7" t="s">
        <v>50</v>
      </c>
    </row>
    <row r="36" spans="1:14" ht="28.05" customHeight="1" x14ac:dyDescent="0.25">
      <c r="B36" s="7" t="s">
        <v>27</v>
      </c>
      <c r="D36" s="5" t="s">
        <v>33</v>
      </c>
      <c r="E36" s="5" t="s">
        <v>33</v>
      </c>
      <c r="F36" s="5" t="s">
        <v>33</v>
      </c>
      <c r="G36" s="5" t="s">
        <v>33</v>
      </c>
      <c r="H36" s="5" t="s">
        <v>33</v>
      </c>
      <c r="I36" s="5" t="s">
        <v>33</v>
      </c>
      <c r="J36" s="5" t="s">
        <v>33</v>
      </c>
      <c r="K36" s="5" t="s">
        <v>33</v>
      </c>
      <c r="L36" s="5" t="s">
        <v>33</v>
      </c>
      <c r="M36" s="5" t="s">
        <v>33</v>
      </c>
    </row>
    <row r="37" spans="1:14" ht="28.05" customHeight="1" x14ac:dyDescent="0.25">
      <c r="B37" s="7" t="s">
        <v>28</v>
      </c>
      <c r="D37" s="7" t="s">
        <v>35</v>
      </c>
      <c r="E37" s="7" t="s">
        <v>35</v>
      </c>
      <c r="F37" s="7" t="s">
        <v>35</v>
      </c>
      <c r="G37" s="7" t="s">
        <v>35</v>
      </c>
      <c r="H37" s="7" t="s">
        <v>35</v>
      </c>
      <c r="I37" s="7" t="s">
        <v>35</v>
      </c>
      <c r="J37" s="7" t="s">
        <v>35</v>
      </c>
      <c r="K37" s="7" t="s">
        <v>35</v>
      </c>
      <c r="L37" s="7" t="s">
        <v>35</v>
      </c>
      <c r="M37" s="7" t="s">
        <v>35</v>
      </c>
    </row>
    <row r="38" spans="1:14" ht="28.05" customHeight="1" x14ac:dyDescent="0.25">
      <c r="B38" s="7" t="s">
        <v>29</v>
      </c>
      <c r="D38" s="7" t="s">
        <v>38</v>
      </c>
      <c r="E38" s="7" t="s">
        <v>38</v>
      </c>
      <c r="F38" s="7" t="s">
        <v>38</v>
      </c>
      <c r="G38" s="7" t="s">
        <v>38</v>
      </c>
      <c r="H38" s="7" t="s">
        <v>38</v>
      </c>
      <c r="I38" s="7" t="s">
        <v>38</v>
      </c>
      <c r="J38" s="7" t="s">
        <v>38</v>
      </c>
      <c r="K38" s="7" t="s">
        <v>38</v>
      </c>
      <c r="L38" s="7" t="s">
        <v>38</v>
      </c>
      <c r="M38" s="7" t="s">
        <v>38</v>
      </c>
    </row>
    <row r="39" spans="1:14" ht="28.05" customHeight="1" x14ac:dyDescent="0.25">
      <c r="B39" s="7" t="s">
        <v>30</v>
      </c>
      <c r="D39" s="7" t="s">
        <v>44</v>
      </c>
      <c r="E39" s="7" t="s">
        <v>44</v>
      </c>
      <c r="F39" s="7" t="s">
        <v>44</v>
      </c>
      <c r="G39" s="7" t="s">
        <v>44</v>
      </c>
      <c r="H39" s="7" t="s">
        <v>44</v>
      </c>
      <c r="I39" s="7" t="s">
        <v>44</v>
      </c>
      <c r="J39" s="7" t="s">
        <v>44</v>
      </c>
      <c r="K39" s="7" t="s">
        <v>44</v>
      </c>
      <c r="L39" s="7" t="s">
        <v>44</v>
      </c>
      <c r="M39" s="5" t="s">
        <v>39</v>
      </c>
      <c r="N39" s="1">
        <v>1</v>
      </c>
    </row>
    <row r="40" spans="1:14" ht="28.05" customHeight="1" x14ac:dyDescent="0.25">
      <c r="B40" s="7" t="s">
        <v>31</v>
      </c>
      <c r="D40" s="7" t="s">
        <v>46</v>
      </c>
      <c r="E40" s="7" t="s">
        <v>46</v>
      </c>
      <c r="F40" s="7" t="s">
        <v>46</v>
      </c>
      <c r="G40" s="7" t="s">
        <v>46</v>
      </c>
      <c r="H40" s="7" t="s">
        <v>46</v>
      </c>
      <c r="I40" s="7" t="s">
        <v>46</v>
      </c>
      <c r="J40" s="7" t="s">
        <v>46</v>
      </c>
      <c r="K40" s="7" t="s">
        <v>46</v>
      </c>
      <c r="L40" s="7" t="s">
        <v>46</v>
      </c>
      <c r="M40" s="7" t="s">
        <v>46</v>
      </c>
    </row>
    <row r="41" spans="1:14" ht="28.05" customHeight="1" x14ac:dyDescent="0.25">
      <c r="B41" s="7" t="s">
        <v>32</v>
      </c>
      <c r="D41" s="7" t="s">
        <v>49</v>
      </c>
      <c r="E41" s="7" t="s">
        <v>49</v>
      </c>
      <c r="F41" s="7" t="s">
        <v>49</v>
      </c>
      <c r="G41" s="7" t="s">
        <v>49</v>
      </c>
      <c r="H41" s="7" t="s">
        <v>49</v>
      </c>
      <c r="I41" s="7" t="s">
        <v>49</v>
      </c>
      <c r="J41" s="7" t="s">
        <v>49</v>
      </c>
      <c r="K41" s="7" t="s">
        <v>49</v>
      </c>
      <c r="L41" s="7" t="s">
        <v>49</v>
      </c>
      <c r="M41" s="7" t="s">
        <v>49</v>
      </c>
    </row>
    <row r="43" spans="1:14" ht="28.05" customHeight="1" x14ac:dyDescent="0.25">
      <c r="A43" s="1" t="s">
        <v>63</v>
      </c>
      <c r="B43" s="7" t="s">
        <v>20</v>
      </c>
      <c r="D43" s="7" t="s">
        <v>56</v>
      </c>
      <c r="E43" s="7" t="s">
        <v>56</v>
      </c>
      <c r="F43" s="7" t="s">
        <v>56</v>
      </c>
      <c r="G43" s="7" t="s">
        <v>56</v>
      </c>
      <c r="H43" s="7" t="s">
        <v>56</v>
      </c>
      <c r="I43" s="7" t="s">
        <v>56</v>
      </c>
      <c r="J43" s="7" t="s">
        <v>56</v>
      </c>
      <c r="K43" s="7" t="s">
        <v>56</v>
      </c>
      <c r="L43" s="7" t="s">
        <v>56</v>
      </c>
      <c r="M43" s="7" t="s">
        <v>56</v>
      </c>
    </row>
    <row r="44" spans="1:14" ht="28.05" customHeight="1" x14ac:dyDescent="0.25">
      <c r="B44" s="7" t="s">
        <v>22</v>
      </c>
      <c r="D44" s="7" t="s">
        <v>57</v>
      </c>
      <c r="E44" s="7" t="s">
        <v>57</v>
      </c>
      <c r="F44" s="7" t="s">
        <v>57</v>
      </c>
      <c r="G44" s="7" t="s">
        <v>57</v>
      </c>
      <c r="H44" s="7" t="s">
        <v>57</v>
      </c>
      <c r="I44" s="7" t="s">
        <v>57</v>
      </c>
      <c r="J44" s="7" t="s">
        <v>57</v>
      </c>
      <c r="K44" s="7" t="s">
        <v>57</v>
      </c>
      <c r="L44" s="7" t="s">
        <v>57</v>
      </c>
      <c r="M44" s="7" t="s">
        <v>57</v>
      </c>
    </row>
    <row r="45" spans="1:14" ht="28.05" customHeight="1" x14ac:dyDescent="0.25">
      <c r="B45" s="7" t="s">
        <v>24</v>
      </c>
      <c r="D45" s="7" t="s">
        <v>55</v>
      </c>
      <c r="E45" s="7" t="s">
        <v>55</v>
      </c>
      <c r="F45" s="7" t="s">
        <v>60</v>
      </c>
      <c r="G45" s="7" t="s">
        <v>60</v>
      </c>
      <c r="H45" s="7" t="s">
        <v>60</v>
      </c>
      <c r="I45" s="7" t="s">
        <v>60</v>
      </c>
      <c r="J45" s="7" t="s">
        <v>60</v>
      </c>
      <c r="K45" s="7" t="s">
        <v>60</v>
      </c>
      <c r="L45" s="7" t="s">
        <v>60</v>
      </c>
      <c r="M45" s="7" t="s">
        <v>60</v>
      </c>
    </row>
    <row r="46" spans="1:14" ht="28.05" customHeight="1" x14ac:dyDescent="0.25">
      <c r="B46" s="7" t="s">
        <v>25</v>
      </c>
      <c r="D46" s="5" t="s">
        <v>39</v>
      </c>
      <c r="E46" s="7" t="s">
        <v>50</v>
      </c>
      <c r="F46" s="5" t="s">
        <v>39</v>
      </c>
      <c r="G46" s="7" t="s">
        <v>50</v>
      </c>
      <c r="H46" s="5" t="s">
        <v>39</v>
      </c>
      <c r="I46" s="7" t="s">
        <v>50</v>
      </c>
      <c r="J46" s="5" t="s">
        <v>39</v>
      </c>
      <c r="K46" s="7" t="s">
        <v>50</v>
      </c>
      <c r="L46" s="5" t="s">
        <v>39</v>
      </c>
      <c r="M46" s="7" t="s">
        <v>50</v>
      </c>
      <c r="N46" s="1">
        <v>5</v>
      </c>
    </row>
    <row r="47" spans="1:14" ht="28.05" customHeight="1" x14ac:dyDescent="0.25">
      <c r="B47" s="7" t="s">
        <v>27</v>
      </c>
      <c r="D47" s="5" t="s">
        <v>33</v>
      </c>
      <c r="E47" s="5" t="s">
        <v>33</v>
      </c>
      <c r="F47" s="5" t="s">
        <v>33</v>
      </c>
      <c r="G47" s="5" t="s">
        <v>33</v>
      </c>
      <c r="H47" s="5" t="s">
        <v>33</v>
      </c>
      <c r="I47" s="5" t="s">
        <v>33</v>
      </c>
      <c r="J47" s="5" t="s">
        <v>33</v>
      </c>
      <c r="K47" s="5" t="s">
        <v>33</v>
      </c>
      <c r="L47" s="5" t="s">
        <v>33</v>
      </c>
      <c r="M47" s="5" t="s">
        <v>33</v>
      </c>
    </row>
    <row r="48" spans="1:14" ht="28.05" customHeight="1" x14ac:dyDescent="0.25">
      <c r="B48" s="7" t="s">
        <v>28</v>
      </c>
      <c r="D48" s="7" t="s">
        <v>35</v>
      </c>
      <c r="E48" s="7" t="s">
        <v>35</v>
      </c>
      <c r="F48" s="7" t="s">
        <v>35</v>
      </c>
      <c r="G48" s="7" t="s">
        <v>35</v>
      </c>
      <c r="H48" s="7" t="s">
        <v>35</v>
      </c>
      <c r="I48" s="7" t="s">
        <v>35</v>
      </c>
      <c r="J48" s="7" t="s">
        <v>35</v>
      </c>
      <c r="K48" s="7" t="s">
        <v>35</v>
      </c>
      <c r="L48" s="7" t="s">
        <v>35</v>
      </c>
      <c r="M48" s="7" t="s">
        <v>35</v>
      </c>
    </row>
    <row r="49" spans="1:14" ht="28.05" customHeight="1" x14ac:dyDescent="0.25">
      <c r="B49" s="7" t="s">
        <v>29</v>
      </c>
      <c r="D49" s="1" t="s">
        <v>67</v>
      </c>
      <c r="E49" s="7" t="s">
        <v>38</v>
      </c>
      <c r="F49" s="5" t="s">
        <v>39</v>
      </c>
      <c r="G49" s="5" t="s">
        <v>39</v>
      </c>
      <c r="H49" s="1" t="s">
        <v>70</v>
      </c>
      <c r="I49" s="7" t="s">
        <v>69</v>
      </c>
      <c r="J49" s="7" t="s">
        <v>69</v>
      </c>
      <c r="K49" s="1" t="s">
        <v>69</v>
      </c>
      <c r="L49" s="7" t="s">
        <v>71</v>
      </c>
      <c r="M49" s="1" t="s">
        <v>68</v>
      </c>
      <c r="N49" s="1">
        <v>2</v>
      </c>
    </row>
    <row r="50" spans="1:14" ht="28.05" customHeight="1" x14ac:dyDescent="0.25">
      <c r="B50" s="7" t="s">
        <v>30</v>
      </c>
      <c r="D50" s="7" t="s">
        <v>44</v>
      </c>
      <c r="E50" s="7" t="s">
        <v>44</v>
      </c>
      <c r="F50" s="7" t="s">
        <v>44</v>
      </c>
      <c r="G50" s="7" t="s">
        <v>44</v>
      </c>
      <c r="H50" s="7" t="s">
        <v>44</v>
      </c>
      <c r="I50" s="7" t="s">
        <v>44</v>
      </c>
      <c r="J50" s="7" t="s">
        <v>44</v>
      </c>
      <c r="K50" s="7" t="s">
        <v>44</v>
      </c>
      <c r="L50" s="7" t="s">
        <v>44</v>
      </c>
      <c r="M50" s="7" t="s">
        <v>44</v>
      </c>
    </row>
    <row r="51" spans="1:14" ht="28.05" customHeight="1" x14ac:dyDescent="0.25">
      <c r="B51" s="7" t="s">
        <v>31</v>
      </c>
      <c r="D51" s="7" t="s">
        <v>46</v>
      </c>
      <c r="E51" s="7" t="s">
        <v>46</v>
      </c>
      <c r="F51" s="7" t="s">
        <v>46</v>
      </c>
      <c r="G51" s="7" t="s">
        <v>46</v>
      </c>
      <c r="H51" s="7" t="s">
        <v>46</v>
      </c>
      <c r="I51" s="7" t="s">
        <v>46</v>
      </c>
      <c r="J51" s="7" t="s">
        <v>46</v>
      </c>
      <c r="K51" s="7" t="s">
        <v>46</v>
      </c>
      <c r="L51" s="7" t="s">
        <v>46</v>
      </c>
      <c r="M51" s="7" t="s">
        <v>46</v>
      </c>
    </row>
    <row r="52" spans="1:14" ht="28.05" customHeight="1" x14ac:dyDescent="0.25">
      <c r="B52" s="7" t="s">
        <v>32</v>
      </c>
      <c r="D52" s="7" t="s">
        <v>49</v>
      </c>
      <c r="E52" s="7" t="s">
        <v>49</v>
      </c>
      <c r="F52" s="7" t="s">
        <v>49</v>
      </c>
      <c r="G52" s="7" t="s">
        <v>49</v>
      </c>
      <c r="H52" s="7" t="s">
        <v>49</v>
      </c>
      <c r="I52" s="7" t="s">
        <v>49</v>
      </c>
      <c r="J52" s="7" t="s">
        <v>49</v>
      </c>
      <c r="K52" s="7" t="s">
        <v>49</v>
      </c>
      <c r="L52" s="7" t="s">
        <v>49</v>
      </c>
      <c r="M52" s="7" t="s">
        <v>49</v>
      </c>
    </row>
    <row r="54" spans="1:14" ht="28.05" customHeight="1" x14ac:dyDescent="0.25">
      <c r="C54" s="7"/>
      <c r="D54" s="7"/>
      <c r="E54" s="7"/>
      <c r="F54" s="7"/>
      <c r="G54" s="7"/>
      <c r="H54" s="7"/>
      <c r="I54" s="7"/>
      <c r="J54" s="7"/>
      <c r="K54" s="7"/>
    </row>
    <row r="55" spans="1:14" ht="28.05" customHeight="1" x14ac:dyDescent="0.25">
      <c r="B55" s="14"/>
      <c r="C55" s="14"/>
      <c r="D55" s="13"/>
      <c r="E55" s="15"/>
      <c r="F55" s="15"/>
      <c r="G55" s="14"/>
      <c r="H55" s="14"/>
      <c r="I55" s="14"/>
      <c r="J55" s="14"/>
      <c r="K55" s="14"/>
      <c r="L55" s="14"/>
    </row>
    <row r="56" spans="1:14" ht="28.05" customHeight="1" x14ac:dyDescent="0.25">
      <c r="B56" s="13"/>
      <c r="C56" s="13"/>
      <c r="D56" s="13"/>
      <c r="E56" s="14"/>
      <c r="F56" s="13"/>
      <c r="G56" s="14"/>
      <c r="H56" s="13"/>
      <c r="I56" s="13"/>
      <c r="J56" s="13"/>
      <c r="K56" s="14"/>
    </row>
    <row r="57" spans="1:14" ht="28.05" customHeight="1" x14ac:dyDescent="0.25">
      <c r="B57" s="13"/>
      <c r="C57" s="14"/>
      <c r="D57" s="13"/>
      <c r="E57" s="14"/>
      <c r="F57" s="13"/>
      <c r="G57" s="13"/>
      <c r="H57" s="13"/>
      <c r="I57" s="13"/>
      <c r="J57" s="13"/>
      <c r="K57" s="13"/>
    </row>
    <row r="59" spans="1:14" ht="28.05" customHeight="1" x14ac:dyDescent="0.25">
      <c r="A59" s="7">
        <v>4</v>
      </c>
      <c r="B59" s="14" t="s">
        <v>113</v>
      </c>
      <c r="C59" s="13" t="s">
        <v>114</v>
      </c>
      <c r="D59" s="13" t="s">
        <v>115</v>
      </c>
      <c r="E59" s="15" t="s">
        <v>114</v>
      </c>
      <c r="F59" s="15" t="s">
        <v>115</v>
      </c>
      <c r="G59" s="14" t="s">
        <v>114</v>
      </c>
      <c r="H59" s="14" t="s">
        <v>117</v>
      </c>
      <c r="I59" s="14" t="s">
        <v>113</v>
      </c>
      <c r="J59" s="14" t="s">
        <v>116</v>
      </c>
      <c r="K59" s="14" t="s">
        <v>117</v>
      </c>
      <c r="L59" s="19">
        <v>0.44290000000000002</v>
      </c>
      <c r="M59" s="7" t="s">
        <v>107</v>
      </c>
      <c r="N59" s="7" t="s">
        <v>112</v>
      </c>
    </row>
    <row r="60" spans="1:14" s="7" customFormat="1" ht="28.05" customHeight="1" x14ac:dyDescent="0.25">
      <c r="B60" s="14" t="s">
        <v>117</v>
      </c>
      <c r="C60" s="13" t="s">
        <v>114</v>
      </c>
      <c r="D60" s="13" t="s">
        <v>114</v>
      </c>
      <c r="E60" s="15" t="s">
        <v>113</v>
      </c>
      <c r="F60" s="15" t="s">
        <v>114</v>
      </c>
      <c r="G60" s="14" t="s">
        <v>114</v>
      </c>
      <c r="H60" s="14" t="s">
        <v>117</v>
      </c>
      <c r="I60" s="14" t="s">
        <v>126</v>
      </c>
      <c r="J60" s="14" t="s">
        <v>117</v>
      </c>
      <c r="K60" s="14" t="s">
        <v>117</v>
      </c>
      <c r="L60" s="19"/>
      <c r="M60" s="7" t="s">
        <v>124</v>
      </c>
      <c r="N60" s="7" t="s">
        <v>125</v>
      </c>
    </row>
    <row r="61" spans="1:14" ht="28.05" customHeight="1" x14ac:dyDescent="0.25">
      <c r="A61" s="7">
        <v>5</v>
      </c>
      <c r="B61" s="13" t="s">
        <v>118</v>
      </c>
      <c r="C61" s="13" t="s">
        <v>113</v>
      </c>
      <c r="D61" s="13" t="s">
        <v>114</v>
      </c>
      <c r="E61" s="14" t="s">
        <v>114</v>
      </c>
      <c r="F61" s="13" t="s">
        <v>118</v>
      </c>
      <c r="G61" s="14" t="s">
        <v>114</v>
      </c>
      <c r="H61" s="13" t="s">
        <v>113</v>
      </c>
      <c r="I61" s="13" t="s">
        <v>118</v>
      </c>
      <c r="J61" s="13" t="s">
        <v>118</v>
      </c>
      <c r="K61" s="14" t="s">
        <v>118</v>
      </c>
      <c r="L61" s="18">
        <v>0.77139999999999997</v>
      </c>
      <c r="M61" s="7" t="s">
        <v>108</v>
      </c>
      <c r="N61" s="7" t="s">
        <v>110</v>
      </c>
    </row>
    <row r="62" spans="1:14" ht="28.05" customHeight="1" x14ac:dyDescent="0.25">
      <c r="A62" s="7">
        <v>6</v>
      </c>
      <c r="B62" s="13" t="s">
        <v>118</v>
      </c>
      <c r="C62" s="14" t="s">
        <v>118</v>
      </c>
      <c r="D62" s="13" t="s">
        <v>114</v>
      </c>
      <c r="E62" s="14" t="s">
        <v>118</v>
      </c>
      <c r="F62" s="13" t="s">
        <v>118</v>
      </c>
      <c r="G62" s="13" t="s">
        <v>118</v>
      </c>
      <c r="H62" s="13" t="s">
        <v>118</v>
      </c>
      <c r="I62" s="13" t="s">
        <v>118</v>
      </c>
      <c r="J62" s="13" t="s">
        <v>118</v>
      </c>
      <c r="K62" s="13" t="s">
        <v>118</v>
      </c>
      <c r="L62" s="18">
        <v>0.94289999999999996</v>
      </c>
      <c r="M62" s="7" t="s">
        <v>109</v>
      </c>
      <c r="N62" s="7" t="s">
        <v>111</v>
      </c>
    </row>
    <row r="64" spans="1:14" ht="28.05" customHeight="1" x14ac:dyDescent="0.25">
      <c r="A64" s="1">
        <v>2</v>
      </c>
      <c r="B64" s="14" t="s">
        <v>118</v>
      </c>
      <c r="C64" s="14" t="s">
        <v>118</v>
      </c>
      <c r="D64" s="14" t="s">
        <v>117</v>
      </c>
      <c r="E64" s="14" t="s">
        <v>113</v>
      </c>
      <c r="F64" s="14" t="s">
        <v>118</v>
      </c>
      <c r="G64" s="14" t="s">
        <v>118</v>
      </c>
      <c r="H64" s="14" t="s">
        <v>118</v>
      </c>
      <c r="I64" s="14" t="s">
        <v>113</v>
      </c>
      <c r="J64" s="14" t="s">
        <v>118</v>
      </c>
      <c r="K64" s="14" t="s">
        <v>117</v>
      </c>
      <c r="L64" s="18">
        <v>0.85709999999999997</v>
      </c>
      <c r="N64" s="1" t="s">
        <v>120</v>
      </c>
    </row>
    <row r="65" spans="1:14" ht="28.05" customHeight="1" x14ac:dyDescent="0.25">
      <c r="A65" s="1">
        <v>3</v>
      </c>
      <c r="B65" s="14" t="s">
        <v>118</v>
      </c>
      <c r="C65" s="14" t="s">
        <v>118</v>
      </c>
      <c r="D65" s="14" t="s">
        <v>117</v>
      </c>
      <c r="E65" s="14" t="s">
        <v>118</v>
      </c>
      <c r="F65" s="14" t="s">
        <v>118</v>
      </c>
      <c r="G65" s="14" t="s">
        <v>118</v>
      </c>
      <c r="H65" s="14" t="s">
        <v>118</v>
      </c>
      <c r="I65" s="14" t="s">
        <v>113</v>
      </c>
      <c r="J65" s="14" t="s">
        <v>118</v>
      </c>
      <c r="K65" s="14" t="s">
        <v>118</v>
      </c>
      <c r="L65" s="18">
        <v>0.92859999999999998</v>
      </c>
      <c r="N65" s="1" t="s">
        <v>119</v>
      </c>
    </row>
    <row r="68" spans="1:14" ht="28.05" customHeight="1" x14ac:dyDescent="0.25">
      <c r="A68" s="1" t="s">
        <v>127</v>
      </c>
    </row>
    <row r="70" spans="1:14" ht="28.05" customHeight="1" x14ac:dyDescent="0.25">
      <c r="A70" s="1">
        <v>2</v>
      </c>
      <c r="B70" s="14" t="s">
        <v>118</v>
      </c>
      <c r="C70" s="14" t="s">
        <v>118</v>
      </c>
      <c r="D70" s="14" t="s">
        <v>126</v>
      </c>
      <c r="E70" s="14" t="s">
        <v>126</v>
      </c>
      <c r="F70" s="14" t="s">
        <v>118</v>
      </c>
      <c r="G70" s="14" t="s">
        <v>118</v>
      </c>
      <c r="H70" s="14" t="s">
        <v>118</v>
      </c>
      <c r="I70" s="14" t="s">
        <v>126</v>
      </c>
      <c r="J70" s="14" t="s">
        <v>118</v>
      </c>
      <c r="K70" s="14" t="s">
        <v>118</v>
      </c>
      <c r="L70" s="18">
        <v>0.95709999999999995</v>
      </c>
      <c r="N70" s="7" t="s">
        <v>128</v>
      </c>
    </row>
    <row r="71" spans="1:14" ht="28.05" customHeight="1" x14ac:dyDescent="0.25">
      <c r="A71" s="1">
        <v>3</v>
      </c>
      <c r="B71" s="14" t="s">
        <v>118</v>
      </c>
      <c r="C71" s="14" t="s">
        <v>118</v>
      </c>
      <c r="D71" s="14" t="s">
        <v>118</v>
      </c>
      <c r="E71" s="14" t="s">
        <v>118</v>
      </c>
      <c r="F71" s="14" t="s">
        <v>118</v>
      </c>
      <c r="G71" s="14" t="s">
        <v>118</v>
      </c>
      <c r="H71" s="14" t="s">
        <v>118</v>
      </c>
      <c r="I71" s="14" t="s">
        <v>118</v>
      </c>
      <c r="J71" s="14" t="s">
        <v>118</v>
      </c>
      <c r="K71" s="14" t="s">
        <v>118</v>
      </c>
      <c r="L71" s="8">
        <v>1</v>
      </c>
      <c r="N71" s="1" t="s">
        <v>129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0AC2-0D96-4FFD-832B-31582FF7F1B0}">
  <dimension ref="A1:R29"/>
  <sheetViews>
    <sheetView workbookViewId="0">
      <selection activeCell="L9" sqref="L9"/>
    </sheetView>
  </sheetViews>
  <sheetFormatPr defaultColWidth="16.77734375" defaultRowHeight="28.05" customHeight="1" x14ac:dyDescent="0.25"/>
  <cols>
    <col min="1" max="16384" width="16.77734375" style="7"/>
  </cols>
  <sheetData>
    <row r="1" spans="1:18" ht="28.05" customHeight="1" x14ac:dyDescent="0.25">
      <c r="A1" s="20" t="s">
        <v>106</v>
      </c>
      <c r="B1" s="20"/>
      <c r="C1" s="20"/>
      <c r="D1" s="20"/>
      <c r="E1" s="20"/>
      <c r="F1" s="20"/>
      <c r="G1" s="20"/>
      <c r="H1" s="20"/>
      <c r="I1" s="20"/>
      <c r="J1" s="20"/>
      <c r="K1" s="20"/>
    </row>
    <row r="2" spans="1:18" ht="28.05" customHeight="1" x14ac:dyDescent="0.25">
      <c r="A2" s="20" t="s">
        <v>0</v>
      </c>
      <c r="B2" s="20" t="s">
        <v>1</v>
      </c>
      <c r="C2" s="20"/>
      <c r="D2" s="20" t="s">
        <v>4</v>
      </c>
      <c r="E2" s="20"/>
      <c r="F2" s="21" t="s">
        <v>2</v>
      </c>
      <c r="G2" s="21"/>
      <c r="H2" s="22" t="s">
        <v>3</v>
      </c>
      <c r="I2" s="22"/>
      <c r="J2" s="20" t="s">
        <v>5</v>
      </c>
      <c r="K2" s="20"/>
    </row>
    <row r="3" spans="1:18" ht="28.05" customHeight="1" x14ac:dyDescent="0.25">
      <c r="A3" s="20"/>
      <c r="B3" s="9" t="s">
        <v>73</v>
      </c>
      <c r="C3" s="9" t="s">
        <v>74</v>
      </c>
      <c r="D3" s="9" t="s">
        <v>73</v>
      </c>
      <c r="E3" s="9" t="s">
        <v>74</v>
      </c>
      <c r="F3" s="9" t="s">
        <v>73</v>
      </c>
      <c r="G3" s="9" t="s">
        <v>74</v>
      </c>
      <c r="H3" s="11" t="s">
        <v>73</v>
      </c>
      <c r="I3" s="11" t="s">
        <v>74</v>
      </c>
      <c r="J3" s="9" t="s">
        <v>73</v>
      </c>
      <c r="K3" s="9" t="s">
        <v>74</v>
      </c>
    </row>
    <row r="4" spans="1:18" ht="28.05" customHeight="1" x14ac:dyDescent="0.25">
      <c r="A4" s="9">
        <v>0</v>
      </c>
      <c r="B4" s="9">
        <v>0</v>
      </c>
      <c r="C4" s="9">
        <v>1</v>
      </c>
      <c r="D4" s="9">
        <v>0.80110000000000003</v>
      </c>
      <c r="E4" s="9">
        <v>0.78190000000000004</v>
      </c>
      <c r="F4" s="9">
        <v>0.25</v>
      </c>
      <c r="G4" s="9">
        <v>1</v>
      </c>
      <c r="H4" s="12">
        <v>1</v>
      </c>
      <c r="I4" s="11">
        <v>1</v>
      </c>
      <c r="J4" s="9">
        <v>0.56499999999999995</v>
      </c>
      <c r="K4" s="9">
        <v>0.96199999999999997</v>
      </c>
    </row>
    <row r="5" spans="1:18" ht="28.05" customHeight="1" x14ac:dyDescent="0.25">
      <c r="A5" s="9">
        <v>1</v>
      </c>
      <c r="B5" s="9">
        <v>1</v>
      </c>
      <c r="C5" s="9">
        <v>1</v>
      </c>
      <c r="D5" s="9">
        <v>0.77610000000000001</v>
      </c>
      <c r="E5" s="9">
        <v>0.79059999999999997</v>
      </c>
      <c r="F5" s="9">
        <v>1</v>
      </c>
      <c r="G5" s="9">
        <v>1</v>
      </c>
      <c r="H5" s="12">
        <v>1</v>
      </c>
      <c r="I5" s="11">
        <v>1</v>
      </c>
      <c r="J5" s="9">
        <v>0.95579999999999998</v>
      </c>
      <c r="K5" s="9">
        <v>0.95579999999999998</v>
      </c>
      <c r="L5" s="5"/>
      <c r="M5" s="5"/>
      <c r="N5" s="5"/>
      <c r="O5" s="5"/>
      <c r="P5" s="5"/>
      <c r="Q5" s="5"/>
      <c r="R5" s="5"/>
    </row>
    <row r="6" spans="1:18" ht="28.05" customHeight="1" x14ac:dyDescent="0.25">
      <c r="A6" s="9">
        <v>2</v>
      </c>
      <c r="B6" s="9">
        <v>0.66669999999999996</v>
      </c>
      <c r="C6" s="9">
        <v>1</v>
      </c>
      <c r="D6" s="9">
        <v>0.78939999999999999</v>
      </c>
      <c r="E6" s="9">
        <v>0.75109999999999999</v>
      </c>
      <c r="F6" s="9">
        <v>0.25</v>
      </c>
      <c r="G6" s="10">
        <v>1</v>
      </c>
      <c r="H6" s="12">
        <v>0</v>
      </c>
      <c r="I6" s="11">
        <v>1</v>
      </c>
      <c r="J6" s="9">
        <v>0.18959999999999999</v>
      </c>
      <c r="K6" s="9">
        <v>0.96540000000000004</v>
      </c>
    </row>
    <row r="7" spans="1:18" ht="28.05" customHeight="1" x14ac:dyDescent="0.25">
      <c r="A7" s="9">
        <v>3</v>
      </c>
      <c r="B7" s="9">
        <v>1</v>
      </c>
      <c r="C7" s="9">
        <v>1</v>
      </c>
      <c r="D7" s="9">
        <v>0.77159999999999995</v>
      </c>
      <c r="E7" s="9">
        <v>0.76890000000000003</v>
      </c>
      <c r="F7" s="9">
        <v>0</v>
      </c>
      <c r="G7" s="9">
        <v>0.5</v>
      </c>
      <c r="H7" s="12">
        <v>1</v>
      </c>
      <c r="I7" s="11">
        <v>1</v>
      </c>
      <c r="J7" s="9">
        <v>0.18459999999999999</v>
      </c>
      <c r="K7" s="9">
        <v>0.58099999999999996</v>
      </c>
    </row>
    <row r="8" spans="1:18" ht="28.05" customHeight="1" x14ac:dyDescent="0.25">
      <c r="A8" s="9">
        <v>4</v>
      </c>
      <c r="B8" s="9">
        <v>1</v>
      </c>
      <c r="C8" s="9">
        <v>1</v>
      </c>
      <c r="D8" s="9">
        <v>0.77849999999999997</v>
      </c>
      <c r="E8" s="9">
        <v>0.77569999999999995</v>
      </c>
      <c r="F8" s="9">
        <v>1</v>
      </c>
      <c r="G8" s="9">
        <v>1</v>
      </c>
      <c r="H8" s="12">
        <v>1</v>
      </c>
      <c r="I8" s="11">
        <v>1</v>
      </c>
      <c r="J8" s="9">
        <v>0.95609999999999995</v>
      </c>
      <c r="K8" s="9">
        <v>0.95609999999999995</v>
      </c>
      <c r="R8" s="5"/>
    </row>
    <row r="9" spans="1:18" ht="28.05" customHeight="1" x14ac:dyDescent="0.25">
      <c r="A9" s="9">
        <v>5</v>
      </c>
      <c r="B9" s="9">
        <v>1</v>
      </c>
      <c r="C9" s="9">
        <v>1</v>
      </c>
      <c r="D9" s="9">
        <v>0.77</v>
      </c>
      <c r="E9" s="9">
        <v>0.75239999999999996</v>
      </c>
      <c r="F9" s="9">
        <v>0.41670000000000001</v>
      </c>
      <c r="G9" s="9">
        <v>1</v>
      </c>
      <c r="H9" s="12">
        <v>1</v>
      </c>
      <c r="I9" s="11">
        <v>1</v>
      </c>
      <c r="J9" s="9">
        <v>0.2011</v>
      </c>
      <c r="K9" s="9">
        <v>0.96279999999999999</v>
      </c>
    </row>
    <row r="10" spans="1:18" ht="28.05" customHeight="1" x14ac:dyDescent="0.25">
      <c r="A10" s="9">
        <v>6</v>
      </c>
      <c r="B10" s="9">
        <v>1</v>
      </c>
      <c r="C10" s="9">
        <v>1</v>
      </c>
      <c r="D10" s="9">
        <v>0.70140000000000002</v>
      </c>
      <c r="E10" s="9">
        <v>0.79339999999999999</v>
      </c>
      <c r="F10" s="9">
        <v>0.5</v>
      </c>
      <c r="G10" s="9">
        <v>0.83330000000000004</v>
      </c>
      <c r="H10" s="12">
        <v>1</v>
      </c>
      <c r="I10" s="11">
        <v>1</v>
      </c>
      <c r="J10" s="9">
        <v>0.48420000000000002</v>
      </c>
      <c r="K10" s="9">
        <v>0.57050000000000001</v>
      </c>
    </row>
    <row r="11" spans="1:18" ht="28.05" customHeight="1" x14ac:dyDescent="0.25">
      <c r="A11" s="9">
        <v>7</v>
      </c>
      <c r="B11" s="9">
        <v>0.25</v>
      </c>
      <c r="C11" s="9">
        <v>1</v>
      </c>
      <c r="D11" s="9">
        <v>0.7974</v>
      </c>
      <c r="E11" s="9">
        <v>0.80100000000000005</v>
      </c>
      <c r="F11" s="9">
        <v>0.5</v>
      </c>
      <c r="G11" s="9">
        <v>1</v>
      </c>
      <c r="H11" s="12">
        <v>1</v>
      </c>
      <c r="I11" s="11">
        <v>1</v>
      </c>
      <c r="J11" s="9">
        <v>0.41120000000000001</v>
      </c>
      <c r="K11" s="9">
        <v>0.95789999999999997</v>
      </c>
    </row>
    <row r="12" spans="1:18" ht="28.05" customHeight="1" x14ac:dyDescent="0.25">
      <c r="A12" s="9">
        <v>8</v>
      </c>
      <c r="B12" s="9">
        <v>1</v>
      </c>
      <c r="C12" s="9">
        <v>1</v>
      </c>
      <c r="D12" s="9">
        <v>0.81399999999999995</v>
      </c>
      <c r="E12" s="9">
        <v>0.81620000000000004</v>
      </c>
      <c r="F12" s="9">
        <v>1</v>
      </c>
      <c r="G12" s="9">
        <v>1</v>
      </c>
      <c r="H12" s="12">
        <v>1</v>
      </c>
      <c r="I12" s="11">
        <v>1</v>
      </c>
      <c r="J12" s="9">
        <v>0.81489999999999996</v>
      </c>
      <c r="K12" s="9">
        <v>0.81489999999999996</v>
      </c>
    </row>
    <row r="13" spans="1:18" ht="28.05" customHeight="1" x14ac:dyDescent="0.25">
      <c r="A13" s="9">
        <v>9</v>
      </c>
      <c r="B13" s="7">
        <v>1</v>
      </c>
      <c r="C13" s="7">
        <v>1</v>
      </c>
      <c r="D13" s="7">
        <v>0.78380000000000005</v>
      </c>
      <c r="E13" s="7">
        <v>0.7712</v>
      </c>
      <c r="F13" s="7">
        <v>0.5</v>
      </c>
      <c r="G13" s="7">
        <v>1</v>
      </c>
      <c r="H13" s="12">
        <v>1</v>
      </c>
      <c r="I13" s="12">
        <v>1</v>
      </c>
      <c r="J13" s="7">
        <v>0.1963</v>
      </c>
      <c r="K13" s="7">
        <v>0.95840000000000003</v>
      </c>
    </row>
    <row r="14" spans="1:18" ht="28.05" customHeight="1" x14ac:dyDescent="0.25">
      <c r="A14" s="7" t="s">
        <v>75</v>
      </c>
      <c r="B14" s="7">
        <f>AVERAGE(B4:B13)</f>
        <v>0.7916700000000001</v>
      </c>
      <c r="C14" s="7">
        <f t="shared" ref="C14:K14" si="0">AVERAGE(C4:C13)</f>
        <v>1</v>
      </c>
      <c r="D14" s="7">
        <f t="shared" si="0"/>
        <v>0.77832999999999997</v>
      </c>
      <c r="E14" s="7">
        <f t="shared" si="0"/>
        <v>0.78024000000000004</v>
      </c>
      <c r="F14" s="7">
        <f>AVERAGE(F4:F13)</f>
        <v>0.5416700000000001</v>
      </c>
      <c r="G14" s="7">
        <f>AVERAGE(G4:G13)</f>
        <v>0.9333300000000001</v>
      </c>
      <c r="H14" s="12">
        <f t="shared" si="0"/>
        <v>0.9</v>
      </c>
      <c r="I14" s="12">
        <f t="shared" si="0"/>
        <v>1</v>
      </c>
      <c r="J14" s="7">
        <f t="shared" si="0"/>
        <v>0.49587999999999993</v>
      </c>
      <c r="K14" s="7">
        <f t="shared" si="0"/>
        <v>0.86847999999999992</v>
      </c>
      <c r="L14" s="5"/>
      <c r="M14" s="5"/>
      <c r="N14" s="5"/>
      <c r="O14" s="5"/>
      <c r="P14" s="5"/>
      <c r="Q14" s="5"/>
      <c r="R14" s="5"/>
    </row>
    <row r="15" spans="1:18" ht="28.05" customHeight="1" x14ac:dyDescent="0.25">
      <c r="I15" s="5"/>
      <c r="K15" s="5"/>
      <c r="M15" s="5"/>
      <c r="O15" s="5"/>
      <c r="Q15" s="5"/>
    </row>
    <row r="16" spans="1:18" ht="28.05" customHeight="1" x14ac:dyDescent="0.25">
      <c r="A16" s="20" t="s">
        <v>78</v>
      </c>
      <c r="B16" s="20"/>
      <c r="C16" s="20"/>
      <c r="D16" s="20"/>
      <c r="E16" s="20"/>
      <c r="F16" s="20"/>
      <c r="G16" s="20"/>
      <c r="H16" s="20"/>
      <c r="I16" s="20"/>
      <c r="J16" s="20"/>
      <c r="K16" s="20"/>
      <c r="L16" s="5"/>
      <c r="M16" s="5"/>
      <c r="N16" s="5"/>
      <c r="O16" s="5"/>
      <c r="P16" s="5"/>
      <c r="Q16" s="5"/>
      <c r="R16" s="5"/>
    </row>
    <row r="17" spans="1:12" ht="28.05" customHeight="1" x14ac:dyDescent="0.25">
      <c r="A17" s="20" t="s">
        <v>0</v>
      </c>
      <c r="B17" s="20" t="s">
        <v>1</v>
      </c>
      <c r="C17" s="20"/>
      <c r="D17" s="20" t="s">
        <v>4</v>
      </c>
      <c r="E17" s="20"/>
      <c r="F17" s="21" t="s">
        <v>2</v>
      </c>
      <c r="G17" s="21"/>
      <c r="H17" s="22"/>
      <c r="I17" s="22"/>
      <c r="J17" s="20" t="s">
        <v>5</v>
      </c>
      <c r="K17" s="20"/>
    </row>
    <row r="18" spans="1:12" ht="28.05" customHeight="1" x14ac:dyDescent="0.25">
      <c r="A18" s="20"/>
      <c r="B18" s="16" t="s">
        <v>73</v>
      </c>
      <c r="C18" s="16" t="s">
        <v>74</v>
      </c>
      <c r="D18" s="16" t="s">
        <v>73</v>
      </c>
      <c r="E18" s="16" t="s">
        <v>74</v>
      </c>
      <c r="F18" s="16" t="s">
        <v>73</v>
      </c>
      <c r="G18" s="16" t="s">
        <v>74</v>
      </c>
      <c r="H18" s="17"/>
      <c r="I18" s="17"/>
      <c r="J18" s="16" t="s">
        <v>73</v>
      </c>
      <c r="K18" s="16" t="s">
        <v>74</v>
      </c>
      <c r="L18" s="5"/>
    </row>
    <row r="19" spans="1:12" ht="28.05" customHeight="1" x14ac:dyDescent="0.25">
      <c r="A19" s="16">
        <v>0</v>
      </c>
      <c r="B19" s="16">
        <v>1</v>
      </c>
      <c r="C19" s="16">
        <v>1</v>
      </c>
      <c r="D19" s="16">
        <v>0.77769999999999995</v>
      </c>
      <c r="E19" s="16">
        <v>0.77769999999999995</v>
      </c>
      <c r="F19" s="16">
        <v>0.41670000000000001</v>
      </c>
      <c r="G19" s="16">
        <v>1</v>
      </c>
      <c r="H19" s="12"/>
      <c r="I19" s="17"/>
      <c r="J19" s="16">
        <v>0.96199999999999997</v>
      </c>
      <c r="K19" s="16">
        <v>0.96199999999999997</v>
      </c>
    </row>
    <row r="20" spans="1:12" ht="28.05" customHeight="1" x14ac:dyDescent="0.25">
      <c r="A20" s="16">
        <v>1</v>
      </c>
      <c r="B20" s="16">
        <v>1</v>
      </c>
      <c r="C20" s="16">
        <v>1</v>
      </c>
      <c r="D20" s="16">
        <v>0.77610000000000001</v>
      </c>
      <c r="E20" s="16">
        <v>0.79059999999999997</v>
      </c>
      <c r="F20" s="16">
        <v>1</v>
      </c>
      <c r="G20" s="16">
        <v>1</v>
      </c>
      <c r="H20" s="12"/>
      <c r="I20" s="17"/>
      <c r="J20" s="16">
        <v>0.95579999999999998</v>
      </c>
      <c r="K20" s="16">
        <v>0.95579999999999998</v>
      </c>
    </row>
    <row r="21" spans="1:12" ht="28.05" customHeight="1" x14ac:dyDescent="0.25">
      <c r="A21" s="16">
        <v>2</v>
      </c>
      <c r="B21" s="16">
        <v>1</v>
      </c>
      <c r="C21" s="16">
        <v>1</v>
      </c>
      <c r="D21" s="16">
        <v>0.74919999999999998</v>
      </c>
      <c r="E21" s="16">
        <v>0.77710000000000001</v>
      </c>
      <c r="F21" s="16">
        <v>1</v>
      </c>
      <c r="G21" s="16">
        <v>1</v>
      </c>
      <c r="H21" s="12"/>
      <c r="I21" s="17"/>
      <c r="J21" s="16">
        <v>0.96540000000000004</v>
      </c>
      <c r="K21" s="16">
        <v>0.96540000000000004</v>
      </c>
    </row>
    <row r="22" spans="1:12" ht="28.05" customHeight="1" x14ac:dyDescent="0.25">
      <c r="A22" s="16">
        <v>3</v>
      </c>
      <c r="B22" s="16">
        <v>0</v>
      </c>
      <c r="C22" s="16">
        <v>1</v>
      </c>
      <c r="D22" s="16">
        <v>0.76949999999999996</v>
      </c>
      <c r="E22" s="16">
        <v>0.78680000000000005</v>
      </c>
      <c r="F22" s="16">
        <v>0.5</v>
      </c>
      <c r="G22" s="16">
        <v>1</v>
      </c>
      <c r="H22" s="12"/>
      <c r="I22" s="17"/>
      <c r="J22" s="16">
        <v>0.17680000000000001</v>
      </c>
      <c r="K22" s="16">
        <v>0.95599999999999996</v>
      </c>
    </row>
    <row r="23" spans="1:12" ht="28.05" customHeight="1" x14ac:dyDescent="0.25">
      <c r="A23" s="16">
        <v>4</v>
      </c>
      <c r="B23" s="16">
        <v>1</v>
      </c>
      <c r="C23" s="16">
        <v>1</v>
      </c>
      <c r="D23" s="16">
        <v>0.77569999999999995</v>
      </c>
      <c r="E23" s="16">
        <v>0.77569999999999995</v>
      </c>
      <c r="F23" s="16">
        <v>1</v>
      </c>
      <c r="G23" s="16">
        <v>1</v>
      </c>
      <c r="H23" s="12"/>
      <c r="I23" s="17"/>
      <c r="J23" s="16">
        <v>0.95609999999999995</v>
      </c>
      <c r="K23" s="16">
        <v>0.95609999999999995</v>
      </c>
    </row>
    <row r="24" spans="1:12" ht="28.05" customHeight="1" x14ac:dyDescent="0.25">
      <c r="A24" s="16">
        <v>5</v>
      </c>
      <c r="B24" s="16">
        <v>1</v>
      </c>
      <c r="C24" s="16">
        <v>1</v>
      </c>
      <c r="D24" s="16">
        <v>0.77</v>
      </c>
      <c r="E24" s="16">
        <v>0.77</v>
      </c>
      <c r="F24" s="16">
        <v>0.5</v>
      </c>
      <c r="G24" s="16">
        <v>1</v>
      </c>
      <c r="H24" s="12"/>
      <c r="I24" s="17"/>
      <c r="J24" s="16">
        <v>0.2011</v>
      </c>
      <c r="K24" s="16">
        <v>0.96279999999999999</v>
      </c>
    </row>
    <row r="25" spans="1:12" ht="28.05" customHeight="1" x14ac:dyDescent="0.25">
      <c r="A25" s="16">
        <v>6</v>
      </c>
      <c r="B25" s="16">
        <v>0.5</v>
      </c>
      <c r="C25" s="16">
        <v>1</v>
      </c>
      <c r="D25" s="16">
        <v>0.79700000000000004</v>
      </c>
      <c r="E25" s="16">
        <v>0.79700000000000004</v>
      </c>
      <c r="F25" s="16">
        <v>1</v>
      </c>
      <c r="G25" s="16">
        <v>1</v>
      </c>
      <c r="H25" s="12"/>
      <c r="I25" s="17"/>
      <c r="J25" s="16">
        <v>0.58599999999999997</v>
      </c>
      <c r="K25" s="16">
        <v>0.58599999999999997</v>
      </c>
    </row>
    <row r="26" spans="1:12" ht="28.05" customHeight="1" x14ac:dyDescent="0.25">
      <c r="A26" s="16">
        <v>7</v>
      </c>
      <c r="B26" s="16">
        <v>0</v>
      </c>
      <c r="C26" s="16">
        <v>1</v>
      </c>
      <c r="D26" s="16">
        <v>0.80500000000000005</v>
      </c>
      <c r="E26" s="16">
        <v>0.79579999999999995</v>
      </c>
      <c r="F26" s="16">
        <v>0.5</v>
      </c>
      <c r="G26" s="16">
        <v>1</v>
      </c>
      <c r="H26" s="12"/>
      <c r="I26" s="17"/>
      <c r="J26" s="16">
        <v>0.70089999999999997</v>
      </c>
      <c r="K26" s="16">
        <v>0.95789999999999997</v>
      </c>
    </row>
    <row r="27" spans="1:12" ht="28.05" customHeight="1" x14ac:dyDescent="0.25">
      <c r="A27" s="16">
        <v>8</v>
      </c>
      <c r="B27" s="16">
        <v>1</v>
      </c>
      <c r="C27" s="16">
        <v>1</v>
      </c>
      <c r="D27" s="16">
        <v>0.81620000000000004</v>
      </c>
      <c r="E27" s="16">
        <v>0.81620000000000004</v>
      </c>
      <c r="F27" s="16">
        <v>1</v>
      </c>
      <c r="G27" s="16">
        <v>1</v>
      </c>
      <c r="H27" s="12"/>
      <c r="I27" s="17"/>
      <c r="J27" s="16">
        <v>0.81489999999999996</v>
      </c>
      <c r="K27" s="16">
        <v>0.81489999999999996</v>
      </c>
    </row>
    <row r="28" spans="1:12" ht="28.05" customHeight="1" x14ac:dyDescent="0.25">
      <c r="A28" s="16">
        <v>9</v>
      </c>
      <c r="B28" s="7">
        <v>0.5</v>
      </c>
      <c r="C28" s="7">
        <v>1</v>
      </c>
      <c r="D28" s="7">
        <v>0.65229999999999999</v>
      </c>
      <c r="E28" s="7">
        <v>0.7712</v>
      </c>
      <c r="F28" s="7">
        <v>0.5</v>
      </c>
      <c r="G28" s="7">
        <v>1</v>
      </c>
      <c r="H28" s="12"/>
      <c r="I28" s="12"/>
      <c r="J28" s="7">
        <v>0.18049999999999999</v>
      </c>
      <c r="K28" s="7">
        <v>0.95840000000000003</v>
      </c>
    </row>
    <row r="29" spans="1:12" ht="28.05" customHeight="1" x14ac:dyDescent="0.25">
      <c r="A29" s="7" t="s">
        <v>75</v>
      </c>
      <c r="B29" s="7">
        <f>AVERAGE(B19:B28)</f>
        <v>0.7</v>
      </c>
      <c r="C29" s="7">
        <f t="shared" ref="C29:K29" si="1">AVERAGE(C19:C28)</f>
        <v>1</v>
      </c>
      <c r="D29" s="7">
        <f t="shared" si="1"/>
        <v>0.76886999999999994</v>
      </c>
      <c r="E29" s="7">
        <f t="shared" si="1"/>
        <v>0.7858099999999999</v>
      </c>
      <c r="F29" s="7">
        <f>AVERAGE(F19:F28)</f>
        <v>0.74167000000000005</v>
      </c>
      <c r="G29" s="7">
        <f>AVERAGE(G19:G28)</f>
        <v>1</v>
      </c>
      <c r="H29" s="12"/>
      <c r="I29" s="12"/>
      <c r="J29" s="7">
        <f t="shared" si="1"/>
        <v>0.64995000000000003</v>
      </c>
      <c r="K29" s="7">
        <f t="shared" si="1"/>
        <v>0.90752999999999984</v>
      </c>
    </row>
  </sheetData>
  <mergeCells count="14">
    <mergeCell ref="A1:K1"/>
    <mergeCell ref="A2:A3"/>
    <mergeCell ref="B2:C2"/>
    <mergeCell ref="D2:E2"/>
    <mergeCell ref="F2:G2"/>
    <mergeCell ref="H2:I2"/>
    <mergeCell ref="J2:K2"/>
    <mergeCell ref="A16:K16"/>
    <mergeCell ref="A17:A18"/>
    <mergeCell ref="B17:C17"/>
    <mergeCell ref="D17:E17"/>
    <mergeCell ref="F17:G17"/>
    <mergeCell ref="H17:I17"/>
    <mergeCell ref="J17:K1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74D9-6098-4E7A-94F4-A2DD9F4FC518}">
  <dimension ref="A1:M20"/>
  <sheetViews>
    <sheetView workbookViewId="0">
      <selection activeCell="B4" sqref="B4"/>
    </sheetView>
  </sheetViews>
  <sheetFormatPr defaultColWidth="16.77734375" defaultRowHeight="25.05" customHeight="1" x14ac:dyDescent="0.25"/>
  <cols>
    <col min="1" max="2" width="16.77734375" style="7"/>
    <col min="3" max="3" width="24" style="7" customWidth="1"/>
    <col min="4" max="4" width="22.77734375" style="7" customWidth="1"/>
    <col min="5" max="5" width="25.21875" style="7" customWidth="1"/>
    <col min="6" max="6" width="20.6640625" style="7" customWidth="1"/>
    <col min="7" max="8" width="21.44140625" style="7" customWidth="1"/>
    <col min="9" max="9" width="24.88671875" style="7" customWidth="1"/>
    <col min="10" max="11" width="16.77734375" style="7"/>
    <col min="12" max="12" width="23" style="7" customWidth="1"/>
    <col min="13" max="13" width="25" style="7" customWidth="1"/>
    <col min="14" max="16384" width="16.77734375" style="7"/>
  </cols>
  <sheetData>
    <row r="1" spans="1:13" ht="25.05" customHeight="1" x14ac:dyDescent="0.25">
      <c r="A1" s="23" t="s">
        <v>84</v>
      </c>
      <c r="B1" s="23"/>
      <c r="C1" s="23"/>
      <c r="D1" s="23"/>
      <c r="E1" s="23"/>
      <c r="F1" s="23"/>
      <c r="G1" s="23"/>
    </row>
    <row r="2" spans="1:13" ht="25.05" customHeight="1" x14ac:dyDescent="0.25">
      <c r="B2" s="7" t="s">
        <v>121</v>
      </c>
      <c r="C2" s="7" t="s">
        <v>88</v>
      </c>
      <c r="D2" s="7" t="s">
        <v>104</v>
      </c>
      <c r="E2" s="7" t="s">
        <v>87</v>
      </c>
      <c r="F2" s="7" t="s">
        <v>89</v>
      </c>
      <c r="G2" s="7" t="s">
        <v>122</v>
      </c>
      <c r="I2" s="7" t="s">
        <v>90</v>
      </c>
    </row>
    <row r="3" spans="1:13" ht="25.05" customHeight="1" x14ac:dyDescent="0.25">
      <c r="A3" s="7">
        <v>1</v>
      </c>
      <c r="B3" s="7" t="s">
        <v>86</v>
      </c>
      <c r="C3" s="5" t="s">
        <v>39</v>
      </c>
      <c r="D3" s="5" t="s">
        <v>33</v>
      </c>
      <c r="E3" s="5" t="s">
        <v>33</v>
      </c>
      <c r="F3" s="5" t="s">
        <v>33</v>
      </c>
      <c r="G3" s="7" t="s">
        <v>94</v>
      </c>
      <c r="I3" s="7" t="s">
        <v>93</v>
      </c>
      <c r="J3" s="7">
        <v>24</v>
      </c>
      <c r="K3" s="7" t="s">
        <v>172</v>
      </c>
      <c r="L3" s="7" t="s">
        <v>180</v>
      </c>
      <c r="M3" s="7" t="s">
        <v>181</v>
      </c>
    </row>
    <row r="4" spans="1:13" ht="25.05" customHeight="1" x14ac:dyDescent="0.25">
      <c r="A4" s="7">
        <v>2</v>
      </c>
      <c r="B4" s="7" t="s">
        <v>91</v>
      </c>
      <c r="C4" s="5" t="s">
        <v>39</v>
      </c>
      <c r="D4" s="5" t="s">
        <v>33</v>
      </c>
      <c r="E4" s="5" t="s">
        <v>33</v>
      </c>
      <c r="F4" s="5" t="s">
        <v>39</v>
      </c>
      <c r="G4" s="7" t="s">
        <v>92</v>
      </c>
      <c r="I4" s="7" t="s">
        <v>95</v>
      </c>
      <c r="J4" s="7">
        <v>24</v>
      </c>
      <c r="K4" s="7" t="s">
        <v>172</v>
      </c>
      <c r="L4" s="7" t="s">
        <v>176</v>
      </c>
      <c r="M4" s="7" t="s">
        <v>177</v>
      </c>
    </row>
    <row r="5" spans="1:13" ht="25.05" customHeight="1" x14ac:dyDescent="0.25">
      <c r="A5" s="7">
        <v>3</v>
      </c>
      <c r="B5" s="7" t="s">
        <v>96</v>
      </c>
      <c r="C5" s="5" t="s">
        <v>33</v>
      </c>
      <c r="D5" s="5" t="s">
        <v>33</v>
      </c>
      <c r="E5" s="5" t="s">
        <v>33</v>
      </c>
      <c r="F5" s="5" t="s">
        <v>39</v>
      </c>
      <c r="G5" s="7" t="s">
        <v>92</v>
      </c>
      <c r="I5" s="7" t="s">
        <v>97</v>
      </c>
      <c r="J5" s="7">
        <v>24</v>
      </c>
      <c r="K5" s="7" t="s">
        <v>172</v>
      </c>
      <c r="L5" s="7" t="s">
        <v>178</v>
      </c>
      <c r="M5" s="7" t="s">
        <v>179</v>
      </c>
    </row>
    <row r="6" spans="1:13" ht="25.05" customHeight="1" x14ac:dyDescent="0.25">
      <c r="A6" s="7">
        <v>4</v>
      </c>
      <c r="B6" s="7" t="s">
        <v>123</v>
      </c>
      <c r="C6" s="5" t="s">
        <v>39</v>
      </c>
      <c r="D6" s="5" t="s">
        <v>33</v>
      </c>
      <c r="E6" s="5" t="s">
        <v>39</v>
      </c>
      <c r="F6" s="5" t="s">
        <v>39</v>
      </c>
      <c r="G6" s="7" t="s">
        <v>92</v>
      </c>
      <c r="J6" s="7">
        <v>24</v>
      </c>
      <c r="K6" s="7" t="s">
        <v>173</v>
      </c>
      <c r="L6" s="7" t="s">
        <v>174</v>
      </c>
      <c r="M6" s="7" t="s">
        <v>175</v>
      </c>
    </row>
    <row r="7" spans="1:13" ht="25.05" customHeight="1" x14ac:dyDescent="0.25">
      <c r="A7" s="7">
        <v>5</v>
      </c>
      <c r="B7" s="7" t="s">
        <v>98</v>
      </c>
      <c r="C7" s="5" t="s">
        <v>39</v>
      </c>
      <c r="D7" s="5" t="s">
        <v>33</v>
      </c>
      <c r="E7" s="5" t="s">
        <v>33</v>
      </c>
      <c r="F7" s="5" t="s">
        <v>33</v>
      </c>
      <c r="G7" s="7" t="s">
        <v>94</v>
      </c>
      <c r="I7" s="7" t="s">
        <v>99</v>
      </c>
      <c r="J7" s="7">
        <v>25</v>
      </c>
      <c r="K7" s="7" t="s">
        <v>172</v>
      </c>
      <c r="L7" s="7" t="s">
        <v>182</v>
      </c>
      <c r="M7" s="7" t="s">
        <v>183</v>
      </c>
    </row>
    <row r="8" spans="1:13" ht="25.05" customHeight="1" x14ac:dyDescent="0.25">
      <c r="A8" s="7">
        <v>6</v>
      </c>
      <c r="B8" s="7" t="s">
        <v>103</v>
      </c>
      <c r="C8" s="5" t="s">
        <v>39</v>
      </c>
      <c r="D8" s="5" t="s">
        <v>33</v>
      </c>
      <c r="E8" s="5" t="s">
        <v>33</v>
      </c>
      <c r="F8" s="5" t="s">
        <v>33</v>
      </c>
      <c r="G8" s="7" t="s">
        <v>94</v>
      </c>
      <c r="I8" s="7" t="s">
        <v>105</v>
      </c>
      <c r="J8" s="7">
        <v>25</v>
      </c>
      <c r="K8" s="7" t="s">
        <v>173</v>
      </c>
      <c r="L8" s="7" t="s">
        <v>185</v>
      </c>
      <c r="M8" s="7" t="s">
        <v>184</v>
      </c>
    </row>
    <row r="9" spans="1:13" ht="25.05" customHeight="1" x14ac:dyDescent="0.25">
      <c r="A9" s="7">
        <v>7</v>
      </c>
      <c r="B9" s="7" t="s">
        <v>102</v>
      </c>
      <c r="C9" s="5" t="s">
        <v>33</v>
      </c>
      <c r="D9" s="5" t="s">
        <v>39</v>
      </c>
      <c r="E9" s="5" t="s">
        <v>33</v>
      </c>
      <c r="F9" s="5" t="s">
        <v>33</v>
      </c>
      <c r="G9" s="7" t="s">
        <v>100</v>
      </c>
      <c r="I9" s="7" t="s">
        <v>101</v>
      </c>
      <c r="J9" s="7">
        <v>25</v>
      </c>
      <c r="K9" s="7" t="s">
        <v>172</v>
      </c>
      <c r="L9" s="7" t="s">
        <v>186</v>
      </c>
      <c r="M9" s="7" t="s">
        <v>187</v>
      </c>
    </row>
    <row r="10" spans="1:13" ht="25.05" customHeight="1" x14ac:dyDescent="0.25">
      <c r="A10" s="7">
        <v>8</v>
      </c>
      <c r="B10" s="7" t="s">
        <v>85</v>
      </c>
      <c r="C10" s="5" t="s">
        <v>33</v>
      </c>
      <c r="D10" s="5" t="s">
        <v>33</v>
      </c>
      <c r="E10" s="5" t="s">
        <v>33</v>
      </c>
      <c r="F10" s="5" t="s">
        <v>33</v>
      </c>
      <c r="G10" s="7" t="s">
        <v>100</v>
      </c>
      <c r="I10" s="7" t="s">
        <v>95</v>
      </c>
    </row>
    <row r="18" spans="1:1" ht="25.05" customHeight="1" x14ac:dyDescent="0.25">
      <c r="A18" s="7">
        <v>6</v>
      </c>
    </row>
    <row r="19" spans="1:1" ht="25.05" customHeight="1" x14ac:dyDescent="0.25">
      <c r="A19" s="7">
        <v>7</v>
      </c>
    </row>
    <row r="20" spans="1:1" ht="25.05" customHeight="1" x14ac:dyDescent="0.25">
      <c r="A20" s="7">
        <v>8</v>
      </c>
    </row>
  </sheetData>
  <mergeCells count="1">
    <mergeCell ref="A1:G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fallenup</dc:creator>
  <cp:lastModifiedBy>zhenyu Fan</cp:lastModifiedBy>
  <dcterms:created xsi:type="dcterms:W3CDTF">2015-06-05T18:19:34Z</dcterms:created>
  <dcterms:modified xsi:type="dcterms:W3CDTF">2026-03-31T07:32:43Z</dcterms:modified>
</cp:coreProperties>
</file>